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utoreport\autoreport\backend\uploads\"/>
    </mc:Choice>
  </mc:AlternateContent>
  <xr:revisionPtr revIDLastSave="0" documentId="8_{8C23294E-203A-451B-B05D-C8F8CBF1B081}" xr6:coauthVersionLast="47" xr6:coauthVersionMax="47" xr10:uidLastSave="{00000000-0000-0000-0000-000000000000}"/>
  <bookViews>
    <workbookView xWindow="-120" yWindow="-120" windowWidth="29040" windowHeight="15720" tabRatio="960" activeTab="4" xr2:uid="{00000000-000D-0000-FFFF-FFFF00000000}"/>
  </bookViews>
  <sheets>
    <sheet name="입력1(학교시설명 등 기본사항 입력) 보고서1,2" sheetId="1" r:id="rId1"/>
    <sheet name="입력2(측정)" sheetId="2" r:id="rId2"/>
    <sheet name="보고서3" sheetId="3" r:id="rId3"/>
    <sheet name="측정사진" sheetId="4" r:id="rId4"/>
    <sheet name="실내공기질 측정기록부" sheetId="5" r:id="rId5"/>
    <sheet name="시료인계서" sheetId="6" r:id="rId6"/>
    <sheet name="시료번호 입렵" sheetId="7" r:id="rId7"/>
    <sheet name="포집유량 보정" sheetId="8" r:id="rId8"/>
    <sheet name="부유세균(시험기록부)" sheetId="9" r:id="rId9"/>
    <sheet name="부유세균 환산표" sheetId="10" r:id="rId10"/>
    <sheet name="낙하세균(시험기록부)" sheetId="11" r:id="rId11"/>
    <sheet name="석면 시험기록부" sheetId="12" r:id="rId12"/>
    <sheet name="드롭다운 메뉴_지우지말것!" sheetId="13" r:id="rId13"/>
    <sheet name="시료 접수대장" sheetId="14" r:id="rId14"/>
  </sheets>
  <externalReferences>
    <externalReference r:id="rId15"/>
    <externalReference r:id="rId16"/>
  </externalReferences>
  <definedNames>
    <definedName name="_xlnm.Print_Area" localSheetId="10">'낙하세균(시험기록부)'!$A$1:$R$30</definedName>
    <definedName name="_xlnm.Print_Area" localSheetId="2">보고서3!$A$1:$P$151</definedName>
    <definedName name="_xlnm.Print_Area" localSheetId="6">'시료번호 입렵'!$A$1:$H$47</definedName>
    <definedName name="_xlnm.Print_Area" localSheetId="4">'실내공기질 측정기록부'!$A$1:$L$51</definedName>
    <definedName name="_xlnm.Print_Area" localSheetId="0">'입력1(학교시설명 등 기본사항 입력) 보고서1,2'!$A$1:$K$18</definedName>
    <definedName name="_xlnm.Print_Area" localSheetId="1">'입력2(측정)'!$A$1:$AO$138</definedName>
    <definedName name="_xlnm.Print_Area" localSheetId="3">측정사진!$A$1:$L$35</definedName>
    <definedName name="_xlnm.Print_Area" localSheetId="7">'포집유량 보정'!$A$1:$N$20</definedName>
    <definedName name="_xlnm.Print_Area">시료인계서!$A$1:$F$43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2" l="1"/>
  <c r="O41" i="12"/>
  <c r="A41" i="12"/>
  <c r="L40" i="12"/>
  <c r="O39" i="12"/>
  <c r="L38" i="12"/>
  <c r="O37" i="12"/>
  <c r="A37" i="12"/>
  <c r="L36" i="12"/>
  <c r="O35" i="12"/>
  <c r="A35" i="12"/>
  <c r="N34" i="12"/>
  <c r="L34" i="12"/>
  <c r="O33" i="12"/>
  <c r="Q32" i="12"/>
  <c r="L32" i="12"/>
  <c r="Q31" i="12"/>
  <c r="O31" i="12"/>
  <c r="W24" i="12"/>
  <c r="Q41" i="12" s="1"/>
  <c r="S24" i="12"/>
  <c r="Q39" i="12" s="1"/>
  <c r="C21" i="12"/>
  <c r="W10" i="12"/>
  <c r="S10" i="12"/>
  <c r="O10" i="12"/>
  <c r="K10" i="12"/>
  <c r="G10" i="12"/>
  <c r="C10" i="12"/>
  <c r="W9" i="12"/>
  <c r="S9" i="12"/>
  <c r="O9" i="12"/>
  <c r="K9" i="12"/>
  <c r="G9" i="12"/>
  <c r="C9" i="12"/>
  <c r="W8" i="12"/>
  <c r="S8" i="12"/>
  <c r="O8" i="12"/>
  <c r="K8" i="12"/>
  <c r="G8" i="12"/>
  <c r="C8" i="12"/>
  <c r="W6" i="12"/>
  <c r="W19" i="12" s="1"/>
  <c r="S6" i="12"/>
  <c r="S19" i="12" s="1"/>
  <c r="A39" i="12" s="1"/>
  <c r="O6" i="12"/>
  <c r="O19" i="12" s="1"/>
  <c r="K6" i="12"/>
  <c r="K19" i="12" s="1"/>
  <c r="G6" i="12"/>
  <c r="G19" i="12" s="1"/>
  <c r="A33" i="12" s="1"/>
  <c r="C6" i="12"/>
  <c r="C19" i="12" s="1"/>
  <c r="A31" i="12" s="1"/>
  <c r="M5" i="12"/>
  <c r="C5" i="12"/>
  <c r="C4" i="12"/>
  <c r="M3" i="12"/>
  <c r="C3" i="12"/>
  <c r="I28" i="11"/>
  <c r="A27" i="11"/>
  <c r="C25" i="11"/>
  <c r="A24" i="11"/>
  <c r="G18" i="11"/>
  <c r="G6" i="11"/>
  <c r="M5" i="11"/>
  <c r="C5" i="11"/>
  <c r="M4" i="11"/>
  <c r="C4" i="11"/>
  <c r="M3" i="11"/>
  <c r="C3" i="11"/>
  <c r="O45" i="9"/>
  <c r="Q44" i="9"/>
  <c r="L44" i="9"/>
  <c r="L43" i="9"/>
  <c r="A43" i="9"/>
  <c r="O42" i="9"/>
  <c r="Q41" i="9"/>
  <c r="L41" i="9"/>
  <c r="L40" i="9"/>
  <c r="A40" i="9"/>
  <c r="Q38" i="9"/>
  <c r="L38" i="9"/>
  <c r="L37" i="9"/>
  <c r="L28" i="9"/>
  <c r="G22" i="9"/>
  <c r="C22" i="9"/>
  <c r="W18" i="9"/>
  <c r="S18" i="9"/>
  <c r="O10" i="9"/>
  <c r="K10" i="9"/>
  <c r="Q35" i="9" s="1"/>
  <c r="G10" i="9"/>
  <c r="Q32" i="9" s="1"/>
  <c r="C10" i="9"/>
  <c r="Q29" i="9" s="1"/>
  <c r="O9" i="9"/>
  <c r="K9" i="9"/>
  <c r="C9" i="9"/>
  <c r="O8" i="9"/>
  <c r="O39" i="9" s="1"/>
  <c r="G8" i="9"/>
  <c r="O33" i="9" s="1"/>
  <c r="C8" i="9"/>
  <c r="O30" i="9" s="1"/>
  <c r="K6" i="9"/>
  <c r="K18" i="9" s="1"/>
  <c r="A34" i="9" s="1"/>
  <c r="G6" i="9"/>
  <c r="G18" i="9" s="1"/>
  <c r="A31" i="9" s="1"/>
  <c r="M5" i="9"/>
  <c r="C5" i="9"/>
  <c r="C4" i="9"/>
  <c r="M3" i="9"/>
  <c r="C3" i="9"/>
  <c r="J20" i="8"/>
  <c r="I20" i="8"/>
  <c r="K20" i="8" s="1"/>
  <c r="M20" i="8" s="1"/>
  <c r="N20" i="8" s="1"/>
  <c r="W26" i="12" s="1"/>
  <c r="N42" i="12" s="1"/>
  <c r="K19" i="8"/>
  <c r="M19" i="8" s="1"/>
  <c r="N19" i="8" s="1"/>
  <c r="S26" i="12" s="1"/>
  <c r="N40" i="12" s="1"/>
  <c r="J19" i="8"/>
  <c r="I19" i="8"/>
  <c r="J18" i="8"/>
  <c r="I18" i="8"/>
  <c r="K18" i="8" s="1"/>
  <c r="M18" i="8" s="1"/>
  <c r="N18" i="8" s="1"/>
  <c r="O26" i="12" s="1"/>
  <c r="K17" i="8"/>
  <c r="M17" i="8" s="1"/>
  <c r="N17" i="8" s="1"/>
  <c r="K26" i="12" s="1"/>
  <c r="J17" i="8"/>
  <c r="I17" i="8"/>
  <c r="J16" i="8"/>
  <c r="I16" i="8"/>
  <c r="K16" i="8" s="1"/>
  <c r="M16" i="8" s="1"/>
  <c r="N16" i="8" s="1"/>
  <c r="G26" i="12" s="1"/>
  <c r="G24" i="12" s="1"/>
  <c r="J15" i="8"/>
  <c r="I15" i="8"/>
  <c r="K15" i="8" s="1"/>
  <c r="M15" i="8" s="1"/>
  <c r="N15" i="8" s="1"/>
  <c r="C26" i="12" s="1"/>
  <c r="N32" i="12" s="1"/>
  <c r="K13" i="8"/>
  <c r="M13" i="8" s="1"/>
  <c r="N13" i="8" s="1"/>
  <c r="K12" i="8"/>
  <c r="M12" i="8" s="1"/>
  <c r="N12" i="8" s="1"/>
  <c r="K11" i="8"/>
  <c r="M11" i="8" s="1"/>
  <c r="N11" i="8" s="1"/>
  <c r="K10" i="8"/>
  <c r="M10" i="8" s="1"/>
  <c r="N10" i="8" s="1"/>
  <c r="K9" i="8"/>
  <c r="M9" i="8" s="1"/>
  <c r="N9" i="8" s="1"/>
  <c r="G24" i="9" s="1"/>
  <c r="L32" i="9" s="1"/>
  <c r="K8" i="8"/>
  <c r="M8" i="8" s="1"/>
  <c r="N8" i="8" s="1"/>
  <c r="C24" i="9" s="1"/>
  <c r="L29" i="9" s="1"/>
  <c r="M7" i="8"/>
  <c r="K7" i="8"/>
  <c r="K6" i="8"/>
  <c r="M6" i="8" s="1"/>
  <c r="K5" i="8"/>
  <c r="M5" i="8" s="1"/>
  <c r="K4" i="8"/>
  <c r="M4" i="8" s="1"/>
  <c r="G32" i="7"/>
  <c r="G31" i="7"/>
  <c r="G30" i="7"/>
  <c r="F30" i="7"/>
  <c r="E30" i="7"/>
  <c r="C30" i="7"/>
  <c r="B30" i="7"/>
  <c r="A30" i="7"/>
  <c r="G29" i="7"/>
  <c r="E29" i="7"/>
  <c r="B29" i="7"/>
  <c r="F28" i="7"/>
  <c r="E28" i="7"/>
  <c r="B28" i="7"/>
  <c r="E27" i="7"/>
  <c r="C27" i="7"/>
  <c r="B27" i="7"/>
  <c r="A27" i="7"/>
  <c r="G26" i="7"/>
  <c r="F26" i="7"/>
  <c r="E26" i="7"/>
  <c r="C26" i="7"/>
  <c r="B26" i="7"/>
  <c r="A26" i="7"/>
  <c r="G25" i="7"/>
  <c r="F25" i="7"/>
  <c r="E25" i="7"/>
  <c r="B25" i="7"/>
  <c r="E24" i="7"/>
  <c r="B24" i="7"/>
  <c r="E23" i="7"/>
  <c r="C23" i="7"/>
  <c r="B23" i="7"/>
  <c r="A23" i="7"/>
  <c r="E22" i="7"/>
  <c r="C22" i="7"/>
  <c r="B22" i="7"/>
  <c r="A22" i="7"/>
  <c r="G21" i="7"/>
  <c r="E21" i="7"/>
  <c r="B21" i="7"/>
  <c r="G20" i="7"/>
  <c r="E20" i="7"/>
  <c r="B20" i="7"/>
  <c r="G19" i="7"/>
  <c r="F19" i="7"/>
  <c r="E19" i="7"/>
  <c r="C19" i="7"/>
  <c r="B19" i="7"/>
  <c r="A19" i="7"/>
  <c r="G18" i="7"/>
  <c r="F18" i="7"/>
  <c r="E18" i="7"/>
  <c r="C18" i="7"/>
  <c r="B18" i="7"/>
  <c r="A18" i="7"/>
  <c r="G17" i="7"/>
  <c r="E17" i="7"/>
  <c r="B17" i="7"/>
  <c r="F16" i="7"/>
  <c r="E16" i="7"/>
  <c r="B16" i="7"/>
  <c r="E15" i="7"/>
  <c r="C15" i="7"/>
  <c r="B15" i="7"/>
  <c r="A15" i="7"/>
  <c r="G14" i="7"/>
  <c r="E14" i="7"/>
  <c r="C14" i="7"/>
  <c r="B14" i="7"/>
  <c r="A14" i="7"/>
  <c r="E13" i="7"/>
  <c r="B13" i="7"/>
  <c r="E12" i="7"/>
  <c r="B12" i="7"/>
  <c r="E11" i="7"/>
  <c r="C11" i="7"/>
  <c r="B11" i="7"/>
  <c r="A11" i="7"/>
  <c r="G10" i="7"/>
  <c r="F10" i="7"/>
  <c r="E10" i="7"/>
  <c r="C10" i="7"/>
  <c r="B10" i="7"/>
  <c r="A10" i="7"/>
  <c r="G9" i="7"/>
  <c r="F9" i="7"/>
  <c r="E9" i="7"/>
  <c r="B9" i="7"/>
  <c r="G8" i="7"/>
  <c r="E8" i="7"/>
  <c r="B8" i="7"/>
  <c r="G7" i="7"/>
  <c r="F7" i="7"/>
  <c r="E7" i="7"/>
  <c r="C7" i="7"/>
  <c r="B7" i="7"/>
  <c r="A7" i="7"/>
  <c r="G6" i="7"/>
  <c r="F6" i="7"/>
  <c r="E6" i="7"/>
  <c r="C6" i="7"/>
  <c r="B6" i="7"/>
  <c r="A6" i="7"/>
  <c r="G5" i="7"/>
  <c r="E5" i="7"/>
  <c r="B5" i="7"/>
  <c r="G33" i="6"/>
  <c r="C33" i="6"/>
  <c r="G32" i="6"/>
  <c r="G31" i="6"/>
  <c r="G28" i="7" s="1"/>
  <c r="C31" i="6"/>
  <c r="G30" i="6"/>
  <c r="G27" i="7" s="1"/>
  <c r="C30" i="6"/>
  <c r="F27" i="7" s="1"/>
  <c r="G29" i="6"/>
  <c r="C29" i="6"/>
  <c r="G28" i="6"/>
  <c r="C28" i="6"/>
  <c r="G27" i="6"/>
  <c r="G24" i="7" s="1"/>
  <c r="C27" i="6"/>
  <c r="F24" i="7" s="1"/>
  <c r="G26" i="6"/>
  <c r="G23" i="7" s="1"/>
  <c r="C26" i="6"/>
  <c r="F23" i="7" s="1"/>
  <c r="G25" i="6"/>
  <c r="G22" i="7" s="1"/>
  <c r="C25" i="6"/>
  <c r="F22" i="7" s="1"/>
  <c r="G24" i="6"/>
  <c r="C24" i="6"/>
  <c r="F21" i="7" s="1"/>
  <c r="G23" i="6"/>
  <c r="G22" i="6"/>
  <c r="C22" i="6"/>
  <c r="G21" i="6"/>
  <c r="C21" i="6"/>
  <c r="G20" i="6"/>
  <c r="G19" i="6"/>
  <c r="G16" i="7" s="1"/>
  <c r="C19" i="6"/>
  <c r="G18" i="6"/>
  <c r="G15" i="7" s="1"/>
  <c r="C18" i="6"/>
  <c r="F15" i="7" s="1"/>
  <c r="G17" i="6"/>
  <c r="C17" i="6"/>
  <c r="F14" i="7" s="1"/>
  <c r="G16" i="6"/>
  <c r="G13" i="7" s="1"/>
  <c r="C16" i="6"/>
  <c r="F13" i="7" s="1"/>
  <c r="G15" i="6"/>
  <c r="G12" i="7" s="1"/>
  <c r="C15" i="6"/>
  <c r="F12" i="7" s="1"/>
  <c r="G14" i="6"/>
  <c r="G11" i="7" s="1"/>
  <c r="C14" i="6"/>
  <c r="F11" i="7" s="1"/>
  <c r="G13" i="6"/>
  <c r="C13" i="6"/>
  <c r="G12" i="6"/>
  <c r="C12" i="6"/>
  <c r="G11" i="6"/>
  <c r="G10" i="6"/>
  <c r="C10" i="6"/>
  <c r="G9" i="6"/>
  <c r="C9" i="6"/>
  <c r="G8" i="6"/>
  <c r="C5" i="6"/>
  <c r="C29" i="7" s="1"/>
  <c r="C4" i="6"/>
  <c r="A29" i="7" s="1"/>
  <c r="H44" i="5"/>
  <c r="D44" i="5"/>
  <c r="C44" i="5"/>
  <c r="I40" i="5"/>
  <c r="D40" i="5"/>
  <c r="C40" i="5"/>
  <c r="I39" i="5"/>
  <c r="D39" i="5"/>
  <c r="C39" i="5"/>
  <c r="I38" i="5"/>
  <c r="D38" i="5"/>
  <c r="C38" i="5"/>
  <c r="I37" i="5"/>
  <c r="G37" i="5"/>
  <c r="D37" i="5"/>
  <c r="I36" i="5"/>
  <c r="F36" i="5"/>
  <c r="I35" i="5"/>
  <c r="G33" i="5"/>
  <c r="E33" i="5"/>
  <c r="D33" i="5"/>
  <c r="C33" i="5"/>
  <c r="L32" i="5"/>
  <c r="D32" i="5"/>
  <c r="C32" i="5"/>
  <c r="D30" i="5"/>
  <c r="F28" i="5"/>
  <c r="D28" i="5"/>
  <c r="C28" i="5"/>
  <c r="C27" i="5"/>
  <c r="K26" i="5"/>
  <c r="H26" i="5"/>
  <c r="G26" i="5"/>
  <c r="E26" i="5"/>
  <c r="D26" i="5"/>
  <c r="C26" i="5"/>
  <c r="G25" i="5"/>
  <c r="E25" i="5"/>
  <c r="D25" i="5"/>
  <c r="C25" i="5"/>
  <c r="D21" i="5"/>
  <c r="L18" i="5"/>
  <c r="K18" i="5"/>
  <c r="J18" i="5"/>
  <c r="I18" i="5"/>
  <c r="H18" i="5"/>
  <c r="C18" i="5"/>
  <c r="C16" i="5"/>
  <c r="C15" i="5"/>
  <c r="L14" i="5"/>
  <c r="K14" i="5"/>
  <c r="J14" i="5"/>
  <c r="I14" i="5"/>
  <c r="F14" i="5"/>
  <c r="E14" i="5"/>
  <c r="D14" i="5"/>
  <c r="C14" i="5"/>
  <c r="F13" i="5"/>
  <c r="E13" i="5"/>
  <c r="D13" i="5"/>
  <c r="C13" i="5"/>
  <c r="C11" i="5"/>
  <c r="C10" i="5"/>
  <c r="D6" i="5"/>
  <c r="D5" i="5"/>
  <c r="D4" i="5"/>
  <c r="I119" i="3"/>
  <c r="G119" i="3"/>
  <c r="G118" i="3"/>
  <c r="I118" i="3" s="1"/>
  <c r="G117" i="3"/>
  <c r="I117" i="3" s="1"/>
  <c r="B117" i="3"/>
  <c r="B114" i="3"/>
  <c r="G113" i="3"/>
  <c r="F10" i="5" s="1"/>
  <c r="C113" i="3"/>
  <c r="B113" i="3"/>
  <c r="I111" i="3"/>
  <c r="G111" i="3"/>
  <c r="H17" i="5" s="1"/>
  <c r="F111" i="3"/>
  <c r="E111" i="3"/>
  <c r="D111" i="3"/>
  <c r="C111" i="3"/>
  <c r="D110" i="3"/>
  <c r="D109" i="3"/>
  <c r="I104" i="3"/>
  <c r="G104" i="3"/>
  <c r="E12" i="5" s="1"/>
  <c r="F104" i="3"/>
  <c r="E104" i="3"/>
  <c r="D104" i="3"/>
  <c r="C104" i="3"/>
  <c r="B104" i="3"/>
  <c r="G103" i="3"/>
  <c r="E11" i="5" s="1"/>
  <c r="D103" i="3"/>
  <c r="D102" i="3"/>
  <c r="G97" i="3"/>
  <c r="F97" i="3"/>
  <c r="E97" i="3"/>
  <c r="D97" i="3"/>
  <c r="C97" i="3"/>
  <c r="B97" i="3"/>
  <c r="C12" i="5" s="1"/>
  <c r="G96" i="3"/>
  <c r="D11" i="5" s="1"/>
  <c r="F96" i="3"/>
  <c r="E96" i="3"/>
  <c r="D96" i="3"/>
  <c r="C96" i="3"/>
  <c r="B96" i="3"/>
  <c r="D95" i="3"/>
  <c r="C95" i="3"/>
  <c r="B95" i="3"/>
  <c r="C93" i="3"/>
  <c r="B93" i="3"/>
  <c r="G92" i="3"/>
  <c r="L16" i="5" s="1"/>
  <c r="C92" i="3"/>
  <c r="B92" i="3"/>
  <c r="G91" i="3"/>
  <c r="L15" i="5" s="1"/>
  <c r="C91" i="3"/>
  <c r="B91" i="3"/>
  <c r="C88" i="3"/>
  <c r="D85" i="3"/>
  <c r="F84" i="3"/>
  <c r="E84" i="3"/>
  <c r="D84" i="3"/>
  <c r="C84" i="3"/>
  <c r="B84" i="3"/>
  <c r="D83" i="3"/>
  <c r="B83" i="3"/>
  <c r="D81" i="3"/>
  <c r="G80" i="3"/>
  <c r="I16" i="5" s="1"/>
  <c r="F80" i="3"/>
  <c r="E80" i="3"/>
  <c r="D80" i="3"/>
  <c r="C80" i="3"/>
  <c r="B80" i="3"/>
  <c r="I79" i="3"/>
  <c r="G79" i="3"/>
  <c r="I15" i="5" s="1"/>
  <c r="F79" i="3"/>
  <c r="E79" i="3"/>
  <c r="D79" i="3"/>
  <c r="D74" i="3"/>
  <c r="D73" i="3"/>
  <c r="E72" i="3"/>
  <c r="D72" i="3"/>
  <c r="D71" i="3"/>
  <c r="D70" i="3"/>
  <c r="G69" i="3"/>
  <c r="J42" i="5" s="1"/>
  <c r="F69" i="3"/>
  <c r="E69" i="3"/>
  <c r="D69" i="3"/>
  <c r="F68" i="3"/>
  <c r="D68" i="3"/>
  <c r="D67" i="3"/>
  <c r="D66" i="3"/>
  <c r="G65" i="3"/>
  <c r="I65" i="3" s="1"/>
  <c r="F65" i="3"/>
  <c r="E65" i="3"/>
  <c r="D65" i="3"/>
  <c r="D64" i="3"/>
  <c r="D63" i="3"/>
  <c r="F62" i="3"/>
  <c r="E62" i="3"/>
  <c r="D62" i="3"/>
  <c r="B62" i="3"/>
  <c r="D61" i="3"/>
  <c r="D60" i="3"/>
  <c r="F59" i="3"/>
  <c r="E59" i="3"/>
  <c r="D59" i="3"/>
  <c r="C59" i="3"/>
  <c r="B59" i="3"/>
  <c r="G58" i="3"/>
  <c r="F43" i="5" s="1"/>
  <c r="D58" i="3"/>
  <c r="D57" i="3"/>
  <c r="F56" i="3"/>
  <c r="D56" i="3"/>
  <c r="F53" i="3"/>
  <c r="E53" i="3"/>
  <c r="D53" i="3"/>
  <c r="C53" i="3"/>
  <c r="B53" i="3"/>
  <c r="C19" i="5" s="1"/>
  <c r="B46" i="3"/>
  <c r="G42" i="3"/>
  <c r="J23" i="5" s="1"/>
  <c r="F42" i="3"/>
  <c r="D42" i="3"/>
  <c r="D36" i="3"/>
  <c r="C36" i="3"/>
  <c r="D36" i="5" s="1"/>
  <c r="B36" i="3"/>
  <c r="C36" i="5" s="1"/>
  <c r="D35" i="3"/>
  <c r="C35" i="3"/>
  <c r="D35" i="5" s="1"/>
  <c r="B35" i="3"/>
  <c r="C35" i="5" s="1"/>
  <c r="B33" i="3"/>
  <c r="C32" i="3"/>
  <c r="C30" i="3"/>
  <c r="B30" i="3"/>
  <c r="D27" i="3"/>
  <c r="G25" i="3"/>
  <c r="L31" i="5" s="1"/>
  <c r="F25" i="3"/>
  <c r="E25" i="3"/>
  <c r="D25" i="3"/>
  <c r="C25" i="3"/>
  <c r="D31" i="5" s="1"/>
  <c r="B25" i="3"/>
  <c r="C17" i="5" s="1"/>
  <c r="I24" i="3"/>
  <c r="G24" i="3"/>
  <c r="L30" i="5" s="1"/>
  <c r="F24" i="3"/>
  <c r="E24" i="3"/>
  <c r="D24" i="3"/>
  <c r="C24" i="3"/>
  <c r="B24" i="3"/>
  <c r="C30" i="5" s="1"/>
  <c r="F23" i="3"/>
  <c r="D23" i="3"/>
  <c r="C23" i="3"/>
  <c r="D29" i="5" s="1"/>
  <c r="B23" i="3"/>
  <c r="C29" i="5" s="1"/>
  <c r="E22" i="3"/>
  <c r="D22" i="3"/>
  <c r="C22" i="3"/>
  <c r="B22" i="3"/>
  <c r="G21" i="3"/>
  <c r="H33" i="5" s="1"/>
  <c r="F21" i="3"/>
  <c r="E21" i="3"/>
  <c r="D21" i="3"/>
  <c r="C21" i="3"/>
  <c r="B21" i="3"/>
  <c r="E19" i="3"/>
  <c r="D19" i="3"/>
  <c r="C19" i="3"/>
  <c r="B19" i="3"/>
  <c r="D18" i="3"/>
  <c r="D17" i="3"/>
  <c r="C17" i="3"/>
  <c r="G16" i="3"/>
  <c r="I16" i="3" s="1"/>
  <c r="D16" i="3"/>
  <c r="B16" i="3"/>
  <c r="G14" i="3"/>
  <c r="I14" i="3" s="1"/>
  <c r="F14" i="3"/>
  <c r="G13" i="3"/>
  <c r="F13" i="3"/>
  <c r="E13" i="3"/>
  <c r="D13" i="3"/>
  <c r="C13" i="3"/>
  <c r="D12" i="3"/>
  <c r="F10" i="3"/>
  <c r="D10" i="3"/>
  <c r="C10" i="3"/>
  <c r="D27" i="5" s="1"/>
  <c r="B10" i="3"/>
  <c r="F9" i="3"/>
  <c r="E9" i="3"/>
  <c r="D9" i="3"/>
  <c r="C9" i="3"/>
  <c r="B9" i="3"/>
  <c r="G7" i="3"/>
  <c r="I7" i="3" s="1"/>
  <c r="F7" i="3"/>
  <c r="E7" i="3"/>
  <c r="D7" i="3"/>
  <c r="C7" i="3"/>
  <c r="B7" i="3"/>
  <c r="D6" i="3"/>
  <c r="I5" i="3"/>
  <c r="G5" i="3"/>
  <c r="E23" i="5" s="1"/>
  <c r="E5" i="3"/>
  <c r="D5" i="3"/>
  <c r="C5" i="3"/>
  <c r="D23" i="5" s="1"/>
  <c r="B5" i="3"/>
  <c r="C23" i="5" s="1"/>
  <c r="D138" i="2"/>
  <c r="C138" i="2"/>
  <c r="B138" i="2"/>
  <c r="A138" i="2"/>
  <c r="D137" i="2"/>
  <c r="C137" i="2"/>
  <c r="B137" i="2"/>
  <c r="G115" i="3" s="1"/>
  <c r="A137" i="2"/>
  <c r="B115" i="3" s="1"/>
  <c r="D136" i="2"/>
  <c r="C136" i="2"/>
  <c r="B136" i="2"/>
  <c r="G114" i="3" s="1"/>
  <c r="A136" i="2"/>
  <c r="D135" i="2"/>
  <c r="S132" i="2"/>
  <c r="F74" i="3" s="1"/>
  <c r="R132" i="2"/>
  <c r="E74" i="3" s="1"/>
  <c r="G132" i="2"/>
  <c r="E132" i="2"/>
  <c r="T132" i="2" s="1"/>
  <c r="G74" i="3" s="1"/>
  <c r="T131" i="2"/>
  <c r="G73" i="3" s="1"/>
  <c r="I73" i="3" s="1"/>
  <c r="G131" i="2"/>
  <c r="E131" i="2"/>
  <c r="S131" i="2" s="1"/>
  <c r="F73" i="3" s="1"/>
  <c r="T130" i="2"/>
  <c r="G72" i="3" s="1"/>
  <c r="S130" i="2"/>
  <c r="F72" i="3" s="1"/>
  <c r="R130" i="2"/>
  <c r="G130" i="2"/>
  <c r="E130" i="2"/>
  <c r="S129" i="2"/>
  <c r="F71" i="3" s="1"/>
  <c r="R129" i="2"/>
  <c r="E71" i="3" s="1"/>
  <c r="G129" i="2"/>
  <c r="E129" i="2"/>
  <c r="T129" i="2" s="1"/>
  <c r="G71" i="3" s="1"/>
  <c r="Q128" i="2"/>
  <c r="Q131" i="2" s="1"/>
  <c r="G128" i="2"/>
  <c r="T128" i="2" s="1"/>
  <c r="G70" i="3" s="1"/>
  <c r="E128" i="2"/>
  <c r="T127" i="2"/>
  <c r="S127" i="2"/>
  <c r="R127" i="2"/>
  <c r="G127" i="2"/>
  <c r="E127" i="2"/>
  <c r="S126" i="2"/>
  <c r="R126" i="2"/>
  <c r="G126" i="2"/>
  <c r="E126" i="2"/>
  <c r="T126" i="2" s="1"/>
  <c r="Q125" i="2"/>
  <c r="G125" i="2"/>
  <c r="E125" i="2"/>
  <c r="S125" i="2" s="1"/>
  <c r="F64" i="3" s="1"/>
  <c r="T124" i="2"/>
  <c r="G63" i="3" s="1"/>
  <c r="S124" i="2"/>
  <c r="F63" i="3" s="1"/>
  <c r="R124" i="2"/>
  <c r="E63" i="3" s="1"/>
  <c r="G124" i="2"/>
  <c r="E124" i="2"/>
  <c r="S123" i="2"/>
  <c r="R123" i="2"/>
  <c r="E68" i="3" s="1"/>
  <c r="G123" i="2"/>
  <c r="E123" i="2"/>
  <c r="T123" i="2" s="1"/>
  <c r="G68" i="3" s="1"/>
  <c r="R122" i="2"/>
  <c r="E67" i="3" s="1"/>
  <c r="Q122" i="2"/>
  <c r="G122" i="2"/>
  <c r="S122" i="2" s="1"/>
  <c r="F67" i="3" s="1"/>
  <c r="E122" i="2"/>
  <c r="T121" i="2"/>
  <c r="G66" i="3" s="1"/>
  <c r="S121" i="2"/>
  <c r="F66" i="3" s="1"/>
  <c r="R121" i="2"/>
  <c r="E66" i="3" s="1"/>
  <c r="Q121" i="2"/>
  <c r="Q124" i="2" s="1"/>
  <c r="Q127" i="2" s="1"/>
  <c r="Q130" i="2" s="1"/>
  <c r="G121" i="2"/>
  <c r="E121" i="2"/>
  <c r="S120" i="2"/>
  <c r="R120" i="2"/>
  <c r="Q120" i="2"/>
  <c r="Q123" i="2" s="1"/>
  <c r="Q126" i="2" s="1"/>
  <c r="Q129" i="2" s="1"/>
  <c r="Q132" i="2" s="1"/>
  <c r="G120" i="2"/>
  <c r="E120" i="2"/>
  <c r="T120" i="2" s="1"/>
  <c r="G62" i="3" s="1"/>
  <c r="B120" i="2"/>
  <c r="B123" i="2" s="1"/>
  <c r="Q119" i="2"/>
  <c r="G119" i="2"/>
  <c r="E119" i="2"/>
  <c r="T119" i="2" s="1"/>
  <c r="G61" i="3" s="1"/>
  <c r="T118" i="2"/>
  <c r="G60" i="3" s="1"/>
  <c r="S118" i="2"/>
  <c r="F60" i="3" s="1"/>
  <c r="R118" i="2"/>
  <c r="E60" i="3" s="1"/>
  <c r="Q118" i="2"/>
  <c r="G118" i="2"/>
  <c r="E118" i="2"/>
  <c r="S117" i="2"/>
  <c r="R117" i="2"/>
  <c r="G117" i="2"/>
  <c r="E117" i="2"/>
  <c r="T117" i="2" s="1"/>
  <c r="G59" i="3" s="1"/>
  <c r="B117" i="2"/>
  <c r="S116" i="2"/>
  <c r="F58" i="3" s="1"/>
  <c r="R116" i="2"/>
  <c r="E58" i="3" s="1"/>
  <c r="G116" i="2"/>
  <c r="E116" i="2"/>
  <c r="T116" i="2" s="1"/>
  <c r="G115" i="2"/>
  <c r="E115" i="2"/>
  <c r="T115" i="2" s="1"/>
  <c r="G57" i="3" s="1"/>
  <c r="G114" i="2"/>
  <c r="E114" i="2"/>
  <c r="T114" i="2" s="1"/>
  <c r="G30" i="3" s="1"/>
  <c r="C114" i="2"/>
  <c r="C117" i="2" s="1"/>
  <c r="C120" i="2" s="1"/>
  <c r="C123" i="2" s="1"/>
  <c r="B114" i="2"/>
  <c r="G113" i="2"/>
  <c r="E113" i="2"/>
  <c r="C113" i="2"/>
  <c r="C116" i="2" s="1"/>
  <c r="B113" i="2"/>
  <c r="B116" i="2" s="1"/>
  <c r="G112" i="2"/>
  <c r="E112" i="2"/>
  <c r="S112" i="2" s="1"/>
  <c r="F28" i="3" s="1"/>
  <c r="C112" i="2"/>
  <c r="C28" i="3" s="1"/>
  <c r="B112" i="2"/>
  <c r="T111" i="2"/>
  <c r="S111" i="2"/>
  <c r="R111" i="2"/>
  <c r="C111" i="2"/>
  <c r="B111" i="2"/>
  <c r="T110" i="2"/>
  <c r="S110" i="2"/>
  <c r="R110" i="2"/>
  <c r="C110" i="2"/>
  <c r="B110" i="2"/>
  <c r="B111" i="3" s="1"/>
  <c r="T109" i="2"/>
  <c r="G110" i="3" s="1"/>
  <c r="S109" i="2"/>
  <c r="F110" i="3" s="1"/>
  <c r="R109" i="2"/>
  <c r="E110" i="3" s="1"/>
  <c r="C109" i="2"/>
  <c r="C110" i="3" s="1"/>
  <c r="B109" i="2"/>
  <c r="B110" i="3" s="1"/>
  <c r="T108" i="2"/>
  <c r="G109" i="3" s="1"/>
  <c r="I109" i="3" s="1"/>
  <c r="S108" i="2"/>
  <c r="F109" i="3" s="1"/>
  <c r="R108" i="2"/>
  <c r="E109" i="3" s="1"/>
  <c r="C108" i="2"/>
  <c r="C109" i="3" s="1"/>
  <c r="B108" i="2"/>
  <c r="B109" i="3" s="1"/>
  <c r="S106" i="2"/>
  <c r="R106" i="2"/>
  <c r="T106" i="2" s="1"/>
  <c r="C106" i="2"/>
  <c r="B106" i="2"/>
  <c r="C104" i="2"/>
  <c r="B104" i="2"/>
  <c r="S102" i="2"/>
  <c r="T102" i="2" s="1"/>
  <c r="R102" i="2"/>
  <c r="C102" i="2"/>
  <c r="B102" i="2"/>
  <c r="S100" i="2"/>
  <c r="T100" i="2" s="1"/>
  <c r="R100" i="2"/>
  <c r="Q100" i="2"/>
  <c r="C100" i="2"/>
  <c r="B100" i="2"/>
  <c r="S98" i="2"/>
  <c r="R98" i="2"/>
  <c r="T98" i="2" s="1"/>
  <c r="C98" i="2"/>
  <c r="B98" i="2"/>
  <c r="S96" i="2"/>
  <c r="T96" i="2" s="1"/>
  <c r="G89" i="3" s="1"/>
  <c r="R96" i="2"/>
  <c r="C96" i="2"/>
  <c r="C89" i="3" s="1"/>
  <c r="B96" i="2"/>
  <c r="B89" i="3" s="1"/>
  <c r="C94" i="2"/>
  <c r="B94" i="2"/>
  <c r="B88" i="3" s="1"/>
  <c r="Q92" i="2"/>
  <c r="C92" i="2"/>
  <c r="C87" i="3" s="1"/>
  <c r="B92" i="2"/>
  <c r="B87" i="3" s="1"/>
  <c r="T90" i="2"/>
  <c r="S90" i="2"/>
  <c r="R90" i="2"/>
  <c r="D90" i="2"/>
  <c r="C90" i="2"/>
  <c r="B90" i="2"/>
  <c r="T88" i="2"/>
  <c r="G85" i="3" s="1"/>
  <c r="I85" i="3" s="1"/>
  <c r="S88" i="2"/>
  <c r="R88" i="2"/>
  <c r="C88" i="2"/>
  <c r="C85" i="3" s="1"/>
  <c r="B88" i="2"/>
  <c r="B85" i="3" s="1"/>
  <c r="T86" i="2"/>
  <c r="G84" i="3" s="1"/>
  <c r="S86" i="2"/>
  <c r="R86" i="2"/>
  <c r="C86" i="2"/>
  <c r="B86" i="2"/>
  <c r="T84" i="2"/>
  <c r="G83" i="3" s="1"/>
  <c r="K15" i="5" s="1"/>
  <c r="S84" i="2"/>
  <c r="F83" i="3" s="1"/>
  <c r="R84" i="2"/>
  <c r="E83" i="3" s="1"/>
  <c r="Q84" i="2"/>
  <c r="C84" i="2"/>
  <c r="C83" i="3" s="1"/>
  <c r="B84" i="2"/>
  <c r="T82" i="2"/>
  <c r="S82" i="2"/>
  <c r="R82" i="2"/>
  <c r="C82" i="2"/>
  <c r="B82" i="2"/>
  <c r="T80" i="2"/>
  <c r="G81" i="3" s="1"/>
  <c r="S80" i="2"/>
  <c r="F81" i="3" s="1"/>
  <c r="R80" i="2"/>
  <c r="E81" i="3" s="1"/>
  <c r="C80" i="2"/>
  <c r="C81" i="3" s="1"/>
  <c r="B80" i="2"/>
  <c r="B81" i="3" s="1"/>
  <c r="T78" i="2"/>
  <c r="S78" i="2"/>
  <c r="S94" i="2" s="1"/>
  <c r="T94" i="2" s="1"/>
  <c r="G88" i="3" s="1"/>
  <c r="R78" i="2"/>
  <c r="R94" i="2" s="1"/>
  <c r="C78" i="2"/>
  <c r="B78" i="2"/>
  <c r="T76" i="2"/>
  <c r="S76" i="2"/>
  <c r="S92" i="2" s="1"/>
  <c r="R76" i="2"/>
  <c r="R92" i="2" s="1"/>
  <c r="C76" i="2"/>
  <c r="C79" i="3" s="1"/>
  <c r="B76" i="2"/>
  <c r="B79" i="3" s="1"/>
  <c r="T75" i="2"/>
  <c r="S75" i="2"/>
  <c r="R75" i="2"/>
  <c r="T74" i="2"/>
  <c r="S74" i="2"/>
  <c r="R74" i="2"/>
  <c r="T73" i="2"/>
  <c r="S73" i="2"/>
  <c r="R73" i="2"/>
  <c r="T72" i="2"/>
  <c r="S72" i="2"/>
  <c r="R72" i="2"/>
  <c r="T71" i="2"/>
  <c r="G27" i="3" s="1"/>
  <c r="S71" i="2"/>
  <c r="F27" i="3" s="1"/>
  <c r="R71" i="2"/>
  <c r="E27" i="3" s="1"/>
  <c r="C71" i="2"/>
  <c r="C27" i="3" s="1"/>
  <c r="B71" i="2"/>
  <c r="B27" i="3" s="1"/>
  <c r="T70" i="2"/>
  <c r="S70" i="2"/>
  <c r="R70" i="2"/>
  <c r="T69" i="2"/>
  <c r="S69" i="2"/>
  <c r="R69" i="2"/>
  <c r="T68" i="2"/>
  <c r="S68" i="2"/>
  <c r="R68" i="2"/>
  <c r="T67" i="2"/>
  <c r="G23" i="3" s="1"/>
  <c r="S67" i="2"/>
  <c r="R67" i="2"/>
  <c r="E23" i="3" s="1"/>
  <c r="Q67" i="2"/>
  <c r="T66" i="2"/>
  <c r="S66" i="2"/>
  <c r="R66" i="2"/>
  <c r="C66" i="2"/>
  <c r="C56" i="3" s="1"/>
  <c r="B66" i="2"/>
  <c r="B56" i="3" s="1"/>
  <c r="T65" i="2"/>
  <c r="S65" i="2"/>
  <c r="R65" i="2"/>
  <c r="T64" i="2"/>
  <c r="S64" i="2"/>
  <c r="R64" i="2"/>
  <c r="T63" i="2"/>
  <c r="G53" i="3" s="1"/>
  <c r="S63" i="2"/>
  <c r="R63" i="2"/>
  <c r="Q63" i="2"/>
  <c r="T62" i="2"/>
  <c r="S62" i="2"/>
  <c r="R62" i="2"/>
  <c r="T61" i="2"/>
  <c r="S61" i="2"/>
  <c r="R61" i="2"/>
  <c r="T60" i="2"/>
  <c r="S60" i="2"/>
  <c r="R60" i="2"/>
  <c r="T59" i="2"/>
  <c r="S59" i="2"/>
  <c r="R59" i="2"/>
  <c r="T58" i="2"/>
  <c r="S58" i="2"/>
  <c r="R58" i="2"/>
  <c r="T57" i="2"/>
  <c r="S57" i="2"/>
  <c r="R57" i="2"/>
  <c r="AK55" i="2"/>
  <c r="AL55" i="2" s="1"/>
  <c r="AI55" i="2"/>
  <c r="AG55" i="2"/>
  <c r="AC55" i="2"/>
  <c r="AA55" i="2"/>
  <c r="AE55" i="2" s="1"/>
  <c r="W55" i="2"/>
  <c r="Y55" i="2" s="1"/>
  <c r="U55" i="2"/>
  <c r="AI54" i="2"/>
  <c r="AK54" i="2" s="1"/>
  <c r="AL54" i="2" s="1"/>
  <c r="AG54" i="2"/>
  <c r="AC54" i="2"/>
  <c r="AE54" i="2" s="1"/>
  <c r="AA54" i="2"/>
  <c r="W54" i="2"/>
  <c r="U54" i="2"/>
  <c r="Y54" i="2" s="1"/>
  <c r="AI53" i="2"/>
  <c r="AG53" i="2"/>
  <c r="AK53" i="2" s="1"/>
  <c r="AL53" i="2" s="1"/>
  <c r="O28" i="11" s="1"/>
  <c r="AE53" i="2"/>
  <c r="AC53" i="2"/>
  <c r="AA53" i="2"/>
  <c r="W53" i="2"/>
  <c r="U53" i="2"/>
  <c r="Y53" i="2" s="1"/>
  <c r="AM53" i="2" s="1"/>
  <c r="T53" i="2"/>
  <c r="G36" i="3" s="1"/>
  <c r="S53" i="2"/>
  <c r="F36" i="3" s="1"/>
  <c r="R53" i="2"/>
  <c r="E36" i="3" s="1"/>
  <c r="AK52" i="2"/>
  <c r="AL52" i="2" s="1"/>
  <c r="O25" i="11" s="1"/>
  <c r="AI52" i="2"/>
  <c r="AG52" i="2"/>
  <c r="AC52" i="2"/>
  <c r="AA52" i="2"/>
  <c r="AE52" i="2" s="1"/>
  <c r="Y52" i="2"/>
  <c r="W52" i="2"/>
  <c r="U52" i="2"/>
  <c r="C52" i="2"/>
  <c r="B52" i="2"/>
  <c r="C18" i="11" s="1"/>
  <c r="W49" i="2"/>
  <c r="U49" i="2"/>
  <c r="Y49" i="2" s="1"/>
  <c r="Z49" i="2" s="1"/>
  <c r="S49" i="2" s="1"/>
  <c r="T49" i="2"/>
  <c r="R49" i="2"/>
  <c r="C49" i="2"/>
  <c r="B49" i="2"/>
  <c r="O6" i="9" s="1"/>
  <c r="O18" i="9" s="1"/>
  <c r="A37" i="9" s="1"/>
  <c r="W48" i="2"/>
  <c r="U48" i="2"/>
  <c r="Y48" i="2" s="1"/>
  <c r="T48" i="2"/>
  <c r="C48" i="2"/>
  <c r="C33" i="3" s="1"/>
  <c r="B48" i="2"/>
  <c r="W47" i="2"/>
  <c r="U47" i="2"/>
  <c r="Y47" i="2" s="1"/>
  <c r="T47" i="2"/>
  <c r="C47" i="2"/>
  <c r="B47" i="2"/>
  <c r="B32" i="3" s="1"/>
  <c r="W46" i="2"/>
  <c r="U46" i="2"/>
  <c r="Y46" i="2" s="1"/>
  <c r="Z46" i="2" s="1"/>
  <c r="G31" i="3" s="1"/>
  <c r="T46" i="2"/>
  <c r="S46" i="2"/>
  <c r="R46" i="2"/>
  <c r="C46" i="2"/>
  <c r="C31" i="3" s="1"/>
  <c r="B46" i="2"/>
  <c r="T43" i="2"/>
  <c r="S43" i="2"/>
  <c r="R43" i="2"/>
  <c r="T42" i="2"/>
  <c r="S42" i="2"/>
  <c r="R42" i="2"/>
  <c r="T41" i="2"/>
  <c r="S41" i="2"/>
  <c r="R41" i="2"/>
  <c r="E42" i="3" s="1"/>
  <c r="C41" i="2"/>
  <c r="C42" i="3" s="1"/>
  <c r="B41" i="2"/>
  <c r="B42" i="3" s="1"/>
  <c r="T40" i="2"/>
  <c r="S40" i="2"/>
  <c r="R40" i="2"/>
  <c r="T39" i="2"/>
  <c r="S39" i="2"/>
  <c r="R39" i="2"/>
  <c r="T38" i="2"/>
  <c r="S38" i="2"/>
  <c r="F39" i="3" s="1"/>
  <c r="R38" i="2"/>
  <c r="E39" i="3" s="1"/>
  <c r="C38" i="2"/>
  <c r="C39" i="3" s="1"/>
  <c r="B38" i="2"/>
  <c r="B39" i="3" s="1"/>
  <c r="T37" i="2"/>
  <c r="S37" i="2"/>
  <c r="F22" i="3" s="1"/>
  <c r="R37" i="2"/>
  <c r="C37" i="2"/>
  <c r="C119" i="3" s="1"/>
  <c r="B37" i="2"/>
  <c r="B119" i="3" s="1"/>
  <c r="T36" i="2"/>
  <c r="S36" i="2"/>
  <c r="R36" i="2"/>
  <c r="C36" i="2"/>
  <c r="C118" i="3" s="1"/>
  <c r="B36" i="2"/>
  <c r="B118" i="3" s="1"/>
  <c r="T35" i="2"/>
  <c r="G19" i="3" s="1"/>
  <c r="I19" i="3" s="1"/>
  <c r="S35" i="2"/>
  <c r="F19" i="3" s="1"/>
  <c r="R35" i="2"/>
  <c r="C35" i="2"/>
  <c r="C117" i="3" s="1"/>
  <c r="B35" i="2"/>
  <c r="T34" i="2"/>
  <c r="G18" i="3" s="1"/>
  <c r="I18" i="3" s="1"/>
  <c r="S34" i="2"/>
  <c r="F18" i="3" s="1"/>
  <c r="R34" i="2"/>
  <c r="E18" i="3" s="1"/>
  <c r="C34" i="2"/>
  <c r="C114" i="3" s="1"/>
  <c r="B34" i="2"/>
  <c r="B18" i="3" s="1"/>
  <c r="T33" i="2"/>
  <c r="C135" i="2" s="1"/>
  <c r="B135" i="2" s="1"/>
  <c r="S33" i="2"/>
  <c r="F17" i="3" s="1"/>
  <c r="R33" i="2"/>
  <c r="E17" i="3" s="1"/>
  <c r="C33" i="2"/>
  <c r="B33" i="2"/>
  <c r="A135" i="2" s="1"/>
  <c r="T32" i="2"/>
  <c r="S32" i="2"/>
  <c r="F16" i="3" s="1"/>
  <c r="R32" i="2"/>
  <c r="E16" i="3" s="1"/>
  <c r="C32" i="2"/>
  <c r="C16" i="3" s="1"/>
  <c r="B32" i="2"/>
  <c r="T31" i="2"/>
  <c r="S31" i="2"/>
  <c r="R31" i="2"/>
  <c r="C31" i="2"/>
  <c r="B31" i="2"/>
  <c r="T30" i="2"/>
  <c r="S30" i="2"/>
  <c r="R30" i="2"/>
  <c r="E14" i="3" s="1"/>
  <c r="D30" i="2"/>
  <c r="D14" i="3" s="1"/>
  <c r="C30" i="2"/>
  <c r="C14" i="3" s="1"/>
  <c r="B30" i="2"/>
  <c r="B14" i="3" s="1"/>
  <c r="T29" i="2"/>
  <c r="S29" i="2"/>
  <c r="R29" i="2"/>
  <c r="C29" i="2"/>
  <c r="B29" i="2"/>
  <c r="B13" i="3" s="1"/>
  <c r="T28" i="2"/>
  <c r="G12" i="3" s="1"/>
  <c r="S28" i="2"/>
  <c r="F12" i="3" s="1"/>
  <c r="R28" i="2"/>
  <c r="E12" i="3" s="1"/>
  <c r="C28" i="2"/>
  <c r="C12" i="3" s="1"/>
  <c r="B28" i="2"/>
  <c r="B12" i="3" s="1"/>
  <c r="T26" i="2"/>
  <c r="S26" i="2"/>
  <c r="R26" i="2"/>
  <c r="T24" i="2"/>
  <c r="G10" i="3" s="1"/>
  <c r="S24" i="2"/>
  <c r="R24" i="2"/>
  <c r="E10" i="3" s="1"/>
  <c r="T23" i="2"/>
  <c r="G9" i="3" s="1"/>
  <c r="I9" i="3" s="1"/>
  <c r="S23" i="2"/>
  <c r="R23" i="2"/>
  <c r="T22" i="2"/>
  <c r="S22" i="2"/>
  <c r="R22" i="2"/>
  <c r="C22" i="2"/>
  <c r="B22" i="2"/>
  <c r="T21" i="2"/>
  <c r="S21" i="2"/>
  <c r="R21" i="2"/>
  <c r="C21" i="2"/>
  <c r="B21" i="2"/>
  <c r="T20" i="2"/>
  <c r="G6" i="3" s="1"/>
  <c r="S20" i="2"/>
  <c r="F6" i="3" s="1"/>
  <c r="R20" i="2"/>
  <c r="E6" i="3" s="1"/>
  <c r="C20" i="2"/>
  <c r="C6" i="3" s="1"/>
  <c r="D24" i="5" s="1"/>
  <c r="B20" i="2"/>
  <c r="B6" i="3" s="1"/>
  <c r="C24" i="5" s="1"/>
  <c r="T19" i="2"/>
  <c r="S19" i="2"/>
  <c r="F5" i="3" s="1"/>
  <c r="R19" i="2"/>
  <c r="C19" i="2"/>
  <c r="B19" i="2"/>
  <c r="T18" i="2"/>
  <c r="S18" i="2"/>
  <c r="R18" i="2"/>
  <c r="C18" i="2"/>
  <c r="B18" i="2"/>
  <c r="T17" i="2"/>
  <c r="S17" i="2"/>
  <c r="R17" i="2"/>
  <c r="C17" i="2"/>
  <c r="B17" i="2"/>
  <c r="T16" i="2"/>
  <c r="S16" i="2"/>
  <c r="R16" i="2"/>
  <c r="C16" i="2"/>
  <c r="B16" i="2"/>
  <c r="T15" i="2"/>
  <c r="S15" i="2"/>
  <c r="R15" i="2"/>
  <c r="C15" i="2"/>
  <c r="B15" i="2"/>
  <c r="T14" i="2"/>
  <c r="S14" i="2"/>
  <c r="R14" i="2"/>
  <c r="C14" i="2"/>
  <c r="B14" i="2"/>
  <c r="T13" i="2"/>
  <c r="S13" i="2"/>
  <c r="F103" i="3" s="1"/>
  <c r="R13" i="2"/>
  <c r="E103" i="3" s="1"/>
  <c r="C13" i="2"/>
  <c r="C103" i="3" s="1"/>
  <c r="B13" i="2"/>
  <c r="B103" i="3" s="1"/>
  <c r="T12" i="2"/>
  <c r="G102" i="3" s="1"/>
  <c r="S12" i="2"/>
  <c r="F102" i="3" s="1"/>
  <c r="R12" i="2"/>
  <c r="E102" i="3" s="1"/>
  <c r="O12" i="2"/>
  <c r="O19" i="2" s="1"/>
  <c r="O28" i="2" s="1"/>
  <c r="O33" i="2" s="1"/>
  <c r="O38" i="2" s="1"/>
  <c r="O41" i="2" s="1"/>
  <c r="C12" i="2"/>
  <c r="C102" i="3" s="1"/>
  <c r="B12" i="2"/>
  <c r="B102" i="3" s="1"/>
  <c r="T11" i="2"/>
  <c r="S11" i="2"/>
  <c r="R11" i="2"/>
  <c r="T10" i="2"/>
  <c r="S10" i="2"/>
  <c r="R10" i="2"/>
  <c r="T9" i="2"/>
  <c r="S9" i="2"/>
  <c r="R9" i="2"/>
  <c r="T8" i="2"/>
  <c r="S8" i="2"/>
  <c r="R8" i="2"/>
  <c r="T7" i="2"/>
  <c r="S7" i="2"/>
  <c r="R7" i="2"/>
  <c r="T6" i="2"/>
  <c r="S6" i="2"/>
  <c r="R6" i="2"/>
  <c r="T5" i="2"/>
  <c r="G95" i="3" s="1"/>
  <c r="I95" i="3" s="1"/>
  <c r="S5" i="2"/>
  <c r="F95" i="3" s="1"/>
  <c r="R5" i="2"/>
  <c r="E95" i="3" s="1"/>
  <c r="K22" i="9" l="1"/>
  <c r="Z48" i="2"/>
  <c r="I44" i="5"/>
  <c r="I68" i="3"/>
  <c r="I70" i="3"/>
  <c r="J43" i="5"/>
  <c r="G21" i="12"/>
  <c r="Q33" i="12"/>
  <c r="K24" i="12"/>
  <c r="N36" i="12"/>
  <c r="N38" i="12"/>
  <c r="O24" i="12"/>
  <c r="I89" i="3"/>
  <c r="J17" i="5"/>
  <c r="K42" i="5"/>
  <c r="I72" i="3"/>
  <c r="E24" i="5"/>
  <c r="I6" i="3"/>
  <c r="G23" i="5"/>
  <c r="I12" i="3"/>
  <c r="I30" i="3"/>
  <c r="E44" i="5"/>
  <c r="C26" i="11"/>
  <c r="C20" i="11" s="1"/>
  <c r="I59" i="3"/>
  <c r="F44" i="5"/>
  <c r="I25" i="11"/>
  <c r="AM52" i="2"/>
  <c r="T52" i="2" s="1"/>
  <c r="G35" i="3" s="1"/>
  <c r="B58" i="3"/>
  <c r="C43" i="5" s="1"/>
  <c r="B119" i="2"/>
  <c r="G43" i="5"/>
  <c r="I61" i="3"/>
  <c r="G19" i="5"/>
  <c r="I53" i="3"/>
  <c r="K16" i="5"/>
  <c r="I84" i="3"/>
  <c r="I57" i="3"/>
  <c r="F42" i="5"/>
  <c r="R54" i="2"/>
  <c r="AM54" i="2"/>
  <c r="T54" i="2" s="1"/>
  <c r="S54" i="2"/>
  <c r="I62" i="3"/>
  <c r="G44" i="5"/>
  <c r="K24" i="9"/>
  <c r="L35" i="9" s="1"/>
  <c r="K23" i="9"/>
  <c r="C58" i="3"/>
  <c r="D43" i="5" s="1"/>
  <c r="C119" i="2"/>
  <c r="I23" i="3"/>
  <c r="L29" i="5"/>
  <c r="B115" i="2"/>
  <c r="B28" i="3"/>
  <c r="I74" i="3"/>
  <c r="K44" i="5"/>
  <c r="K43" i="5"/>
  <c r="G24" i="5"/>
  <c r="I13" i="3"/>
  <c r="I91" i="3"/>
  <c r="I25" i="3"/>
  <c r="I58" i="3"/>
  <c r="R113" i="2"/>
  <c r="E29" i="3" s="1"/>
  <c r="S113" i="2"/>
  <c r="F29" i="3" s="1"/>
  <c r="T113" i="2"/>
  <c r="G29" i="3" s="1"/>
  <c r="I42" i="5"/>
  <c r="I66" i="3"/>
  <c r="R125" i="2"/>
  <c r="E64" i="3" s="1"/>
  <c r="I21" i="3"/>
  <c r="I92" i="3"/>
  <c r="H15" i="5"/>
  <c r="C28" i="11"/>
  <c r="C29" i="11" s="1"/>
  <c r="G20" i="11" s="1"/>
  <c r="S55" i="2"/>
  <c r="R55" i="2"/>
  <c r="R128" i="2"/>
  <c r="E70" i="3" s="1"/>
  <c r="D12" i="5"/>
  <c r="I97" i="3"/>
  <c r="S128" i="2"/>
  <c r="F70" i="3" s="1"/>
  <c r="F11" i="5"/>
  <c r="I114" i="3"/>
  <c r="G9" i="9"/>
  <c r="C6" i="9"/>
  <c r="C18" i="9" s="1"/>
  <c r="A28" i="9" s="1"/>
  <c r="B31" i="3"/>
  <c r="R104" i="2"/>
  <c r="E85" i="3"/>
  <c r="T125" i="2"/>
  <c r="G64" i="3" s="1"/>
  <c r="B29" i="3"/>
  <c r="I83" i="3"/>
  <c r="H25" i="5"/>
  <c r="E36" i="5"/>
  <c r="I36" i="3"/>
  <c r="J16" i="5"/>
  <c r="I88" i="3"/>
  <c r="F12" i="5"/>
  <c r="I115" i="3"/>
  <c r="S104" i="2"/>
  <c r="T104" i="2" s="1"/>
  <c r="G93" i="3" s="1"/>
  <c r="F85" i="3"/>
  <c r="C68" i="3"/>
  <c r="C126" i="2"/>
  <c r="C29" i="3"/>
  <c r="K17" i="5"/>
  <c r="I27" i="3"/>
  <c r="L33" i="5"/>
  <c r="I110" i="3"/>
  <c r="H16" i="5"/>
  <c r="I60" i="3"/>
  <c r="G42" i="5"/>
  <c r="B17" i="3"/>
  <c r="T112" i="2"/>
  <c r="G28" i="3" s="1"/>
  <c r="G21" i="9"/>
  <c r="L31" i="9"/>
  <c r="T92" i="2"/>
  <c r="G87" i="3" s="1"/>
  <c r="G39" i="3"/>
  <c r="G22" i="3"/>
  <c r="I22" i="3" s="1"/>
  <c r="T122" i="2"/>
  <c r="G67" i="3" s="1"/>
  <c r="C115" i="2"/>
  <c r="I17" i="5"/>
  <c r="I81" i="3"/>
  <c r="R115" i="2"/>
  <c r="E57" i="3" s="1"/>
  <c r="G17" i="3"/>
  <c r="D10" i="5"/>
  <c r="C23" i="9"/>
  <c r="C21" i="9" s="1"/>
  <c r="R112" i="2"/>
  <c r="E28" i="3" s="1"/>
  <c r="K23" i="5"/>
  <c r="I31" i="3"/>
  <c r="I42" i="3"/>
  <c r="I102" i="3"/>
  <c r="E10" i="5"/>
  <c r="S52" i="2"/>
  <c r="F35" i="3" s="1"/>
  <c r="R52" i="2"/>
  <c r="E35" i="3" s="1"/>
  <c r="S115" i="2"/>
  <c r="F57" i="3" s="1"/>
  <c r="R119" i="2"/>
  <c r="E61" i="3" s="1"/>
  <c r="C31" i="5"/>
  <c r="G23" i="9"/>
  <c r="H42" i="5"/>
  <c r="I63" i="3"/>
  <c r="K8" i="9"/>
  <c r="O36" i="9" s="1"/>
  <c r="S119" i="2"/>
  <c r="F61" i="3" s="1"/>
  <c r="C62" i="3"/>
  <c r="S21" i="12"/>
  <c r="I10" i="3"/>
  <c r="F27" i="5"/>
  <c r="I71" i="3"/>
  <c r="J44" i="5"/>
  <c r="Z47" i="2"/>
  <c r="R131" i="2"/>
  <c r="E73" i="3" s="1"/>
  <c r="C18" i="3"/>
  <c r="I96" i="3"/>
  <c r="W21" i="12"/>
  <c r="I69" i="3"/>
  <c r="I113" i="3"/>
  <c r="I80" i="3"/>
  <c r="I103" i="3"/>
  <c r="AM55" i="2"/>
  <c r="T55" i="2" s="1"/>
  <c r="B68" i="3"/>
  <c r="B126" i="2"/>
  <c r="H24" i="5"/>
  <c r="A24" i="7"/>
  <c r="C115" i="3"/>
  <c r="A8" i="7"/>
  <c r="A12" i="7"/>
  <c r="A16" i="7"/>
  <c r="A20" i="7"/>
  <c r="A28" i="7"/>
  <c r="C8" i="6"/>
  <c r="F5" i="7" s="1"/>
  <c r="C20" i="6"/>
  <c r="F17" i="7" s="1"/>
  <c r="C32" i="6"/>
  <c r="F29" i="7" s="1"/>
  <c r="C8" i="7"/>
  <c r="C12" i="7"/>
  <c r="C16" i="7"/>
  <c r="C20" i="7"/>
  <c r="C24" i="7"/>
  <c r="C28" i="7"/>
  <c r="A9" i="7"/>
  <c r="A13" i="7"/>
  <c r="A17" i="7"/>
  <c r="A21" i="7"/>
  <c r="A5" i="7"/>
  <c r="S114" i="2"/>
  <c r="F30" i="3" s="1"/>
  <c r="C6" i="11"/>
  <c r="R114" i="2"/>
  <c r="E30" i="3" s="1"/>
  <c r="A25" i="7"/>
  <c r="C11" i="6"/>
  <c r="F8" i="7" s="1"/>
  <c r="C23" i="6"/>
  <c r="F20" i="7" s="1"/>
  <c r="C5" i="7"/>
  <c r="C9" i="7"/>
  <c r="C13" i="7"/>
  <c r="C17" i="7"/>
  <c r="C21" i="7"/>
  <c r="C25" i="7"/>
  <c r="G32" i="3" l="1"/>
  <c r="S47" i="2"/>
  <c r="R47" i="2"/>
  <c r="C61" i="3"/>
  <c r="C122" i="2"/>
  <c r="I39" i="3"/>
  <c r="I23" i="5"/>
  <c r="I93" i="3"/>
  <c r="L17" i="5"/>
  <c r="I67" i="3"/>
  <c r="I43" i="5"/>
  <c r="I87" i="3"/>
  <c r="J15" i="5"/>
  <c r="E43" i="5"/>
  <c r="I29" i="3"/>
  <c r="Q37" i="12"/>
  <c r="O21" i="12"/>
  <c r="H23" i="5"/>
  <c r="I17" i="3"/>
  <c r="C118" i="2"/>
  <c r="C57" i="3"/>
  <c r="D42" i="5" s="1"/>
  <c r="I28" i="3"/>
  <c r="E42" i="5"/>
  <c r="B65" i="3"/>
  <c r="B129" i="2"/>
  <c r="K21" i="12"/>
  <c r="Q35" i="12"/>
  <c r="B61" i="3"/>
  <c r="B122" i="2"/>
  <c r="E35" i="5"/>
  <c r="I35" i="3"/>
  <c r="G33" i="3"/>
  <c r="S48" i="2"/>
  <c r="R48" i="2"/>
  <c r="I64" i="3"/>
  <c r="H43" i="5"/>
  <c r="C129" i="2"/>
  <c r="C65" i="3"/>
  <c r="B118" i="2"/>
  <c r="B57" i="3"/>
  <c r="C42" i="5" s="1"/>
  <c r="K21" i="9"/>
  <c r="L34" i="9"/>
  <c r="C121" i="2" l="1"/>
  <c r="C60" i="3"/>
  <c r="I33" i="3"/>
  <c r="K25" i="5"/>
  <c r="C71" i="3"/>
  <c r="C132" i="2"/>
  <c r="C74" i="3" s="1"/>
  <c r="B67" i="3"/>
  <c r="B125" i="2"/>
  <c r="C67" i="3"/>
  <c r="C125" i="2"/>
  <c r="B121" i="2"/>
  <c r="B60" i="3"/>
  <c r="B132" i="2"/>
  <c r="B74" i="3" s="1"/>
  <c r="B71" i="3"/>
  <c r="I32" i="3"/>
  <c r="K24" i="5"/>
  <c r="B64" i="3" l="1"/>
  <c r="B128" i="2"/>
  <c r="B124" i="2"/>
  <c r="B66" i="3"/>
  <c r="C64" i="3"/>
  <c r="C128" i="2"/>
  <c r="C124" i="2"/>
  <c r="C66" i="3"/>
  <c r="C70" i="3" l="1"/>
  <c r="C131" i="2"/>
  <c r="C73" i="3" s="1"/>
  <c r="B127" i="2"/>
  <c r="B63" i="3"/>
  <c r="C127" i="2"/>
  <c r="C63" i="3"/>
  <c r="B131" i="2"/>
  <c r="B73" i="3" s="1"/>
  <c r="B70" i="3"/>
  <c r="C130" i="2" l="1"/>
  <c r="C72" i="3" s="1"/>
  <c r="C69" i="3"/>
  <c r="B130" i="2"/>
  <c r="B72" i="3" s="1"/>
  <c r="B6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PC2410</author>
  </authors>
  <commentList>
    <comment ref="F22" authorId="0" shapeId="0" xr:uid="{00000000-0006-0000-0400-000001000000}">
      <text>
        <r>
          <rPr>
            <b/>
            <sz val="9"/>
            <color rgb="FF000000"/>
            <rFont val="굴림"/>
            <family val="3"/>
            <charset val="129"/>
          </rPr>
          <t>PC2410:
강당, 체육관 기준 
150ug/㎥</t>
        </r>
      </text>
    </comment>
  </commentList>
</comments>
</file>

<file path=xl/sharedStrings.xml><?xml version="1.0" encoding="utf-8"?>
<sst xmlns="http://schemas.openxmlformats.org/spreadsheetml/2006/main" count="1627" uniqueCount="504">
  <si>
    <t>5. 검사결과에 따른 종합의견 및 근거자료(사진 등 첨부)</t>
  </si>
  <si>
    <t xml:space="preserve">구내매점에서 고열량 저영양식품(탄산음료포함), 정서 저해식품을 </t>
  </si>
  <si>
    <r>
      <t xml:space="preserve">2. 시험방법
</t>
    </r>
    <r>
      <rPr>
        <b/>
        <sz val="11"/>
        <color rgb="FF000000"/>
        <rFont val="돋움"/>
        <family val="3"/>
        <charset val="129"/>
      </rPr>
      <t>실내공기질 공정시험기준 ES 02701.1e 실내 공기 중 총부유세균 측정방법 - 충돌법</t>
    </r>
  </si>
  <si>
    <t>4. 일반 환경위생 및 식품위생 점검 결과(점검자 :                      )</t>
  </si>
  <si>
    <t>2026 년      06   월     23 일</t>
  </si>
  <si>
    <t>매점의 취급품목은 적정하며 관리요령을 준수 하는가</t>
  </si>
  <si>
    <t>위와 같이 측정분석결과를 사실대로 기록합니다.</t>
  </si>
  <si>
    <t>낙하세균,부유세균,포름알데하이드,총유기화학물,석면</t>
  </si>
  <si>
    <t>낙하세균,부유세균,포름알데하이드,총유기화학물</t>
  </si>
  <si>
    <r>
      <rPr>
        <b/>
        <sz val="14"/>
        <color rgb="FF000000"/>
        <rFont val="맑은 고딕"/>
        <family val="3"/>
        <charset val="129"/>
      </rPr>
      <t xml:space="preserve">3. 측정지점별 측정결과
</t>
    </r>
    <r>
      <rPr>
        <b/>
        <sz val="11"/>
        <color rgb="FF000000"/>
        <rFont val="맑은 고딕"/>
        <family val="3"/>
        <charset val="129"/>
      </rPr>
      <t xml:space="preserve"> </t>
    </r>
    <r>
      <rPr>
        <b/>
        <sz val="14"/>
        <color rgb="FF000000"/>
        <rFont val="맑은 고딕"/>
        <family val="3"/>
        <charset val="129"/>
      </rPr>
      <t>3-1. 학교시설에서의 공기질</t>
    </r>
  </si>
  <si>
    <t>1층 보건실</t>
  </si>
  <si>
    <t>초미세먼지</t>
  </si>
  <si>
    <t>시험담당자</t>
  </si>
  <si>
    <t>※농도계산식</t>
  </si>
  <si>
    <t>3. 계산식</t>
  </si>
  <si>
    <t>측  정  자</t>
  </si>
  <si>
    <t>시료종류</t>
  </si>
  <si>
    <t>측정항목</t>
  </si>
  <si>
    <t>시료채취일</t>
  </si>
  <si>
    <t>이산화탄소</t>
  </si>
  <si>
    <t>시료채취지점</t>
  </si>
  <si>
    <t>시료번호</t>
  </si>
  <si>
    <t>분 석 자</t>
  </si>
  <si>
    <t>측 정 일 자</t>
  </si>
  <si>
    <t>(273+</t>
  </si>
  <si>
    <t>분석일자</t>
  </si>
  <si>
    <t>기술책임자</t>
  </si>
  <si>
    <t>PM10</t>
  </si>
  <si>
    <t>시  설  명</t>
  </si>
  <si>
    <t>업  체  명</t>
  </si>
  <si>
    <t>PM2.5</t>
  </si>
  <si>
    <t>일산화탄소</t>
  </si>
  <si>
    <t>측정위치</t>
  </si>
  <si>
    <t>측정지점</t>
  </si>
  <si>
    <t>시료채취자</t>
  </si>
  <si>
    <t>부유세균</t>
  </si>
  <si>
    <t>2. 분석내용</t>
  </si>
  <si>
    <t>미세먼지</t>
  </si>
  <si>
    <t>습 도(%)</t>
  </si>
  <si>
    <t>온 도(℃)</t>
  </si>
  <si>
    <t>간접측정법</t>
  </si>
  <si>
    <t>30~80%</t>
  </si>
  <si>
    <t>100 이하</t>
  </si>
  <si>
    <t>측정항목1</t>
  </si>
  <si>
    <t>아산제약(주)</t>
  </si>
  <si>
    <t>NBA-01</t>
  </si>
  <si>
    <t>NBA-03</t>
  </si>
  <si>
    <t>진드기 등</t>
  </si>
  <si>
    <t>측정장비</t>
  </si>
  <si>
    <t>24Hr</t>
  </si>
  <si>
    <t>부유곰팡이</t>
  </si>
  <si>
    <t>②
의뢰
내용</t>
  </si>
  <si>
    <t>정기점검</t>
  </si>
  <si>
    <t>평가결과</t>
  </si>
  <si>
    <t>NBA-02</t>
  </si>
  <si>
    <t>3. 결과</t>
  </si>
  <si>
    <t>시료채취일시</t>
  </si>
  <si>
    <t>구내매점</t>
  </si>
  <si>
    <t>LUTRON</t>
  </si>
  <si>
    <t>검사
횟수</t>
  </si>
  <si>
    <t>BBA-02</t>
  </si>
  <si>
    <t>NBA-06</t>
  </si>
  <si>
    <t>측정사진</t>
  </si>
  <si>
    <t>자가측정용</t>
  </si>
  <si>
    <t>시료
구분명</t>
  </si>
  <si>
    <t>BBA-03</t>
  </si>
  <si>
    <t>특이사항 없음</t>
  </si>
  <si>
    <t>현장
측정법</t>
  </si>
  <si>
    <t>HCHO</t>
  </si>
  <si>
    <t>측정일자</t>
  </si>
  <si>
    <t>정전용량</t>
  </si>
  <si>
    <t>석면 압력</t>
  </si>
  <si>
    <t>18~28℃</t>
  </si>
  <si>
    <t>총미세먼지</t>
  </si>
  <si>
    <t>①
의
뢰
인</t>
  </si>
  <si>
    <t>채취자 의견</t>
  </si>
  <si>
    <t>유치원 빈교실</t>
  </si>
  <si>
    <t>A08800</t>
  </si>
  <si>
    <t>급식시설</t>
  </si>
  <si>
    <t>케이웨더(주)</t>
  </si>
  <si>
    <t>21.6이상</t>
  </si>
  <si>
    <t>신축년도</t>
  </si>
  <si>
    <t>온도
(℃)</t>
  </si>
  <si>
    <t>점검결과</t>
  </si>
  <si>
    <t>㈜알엔
테크</t>
  </si>
  <si>
    <t>광산
란법</t>
  </si>
  <si>
    <t>IAQ-SC</t>
  </si>
  <si>
    <t>성능
검사일</t>
  </si>
  <si>
    <t>습도
(%)</t>
  </si>
  <si>
    <t>설비현항</t>
  </si>
  <si>
    <t>낙하세균</t>
  </si>
  <si>
    <t>유지
기준</t>
  </si>
  <si>
    <t>측정장소</t>
  </si>
  <si>
    <t>α-track</t>
  </si>
  <si>
    <t>전화번호</t>
  </si>
  <si>
    <t>소재지(주소)</t>
  </si>
  <si>
    <t>장기측정법</t>
  </si>
  <si>
    <t xml:space="preserve"> Co:외부
</t>
  </si>
  <si>
    <t>유량보정 항목</t>
  </si>
  <si>
    <t>석면 온도</t>
  </si>
  <si>
    <t>환기장치</t>
  </si>
  <si>
    <t>간이측정법</t>
  </si>
  <si>
    <t>환기량 계산</t>
  </si>
  <si>
    <t>검사
방법</t>
  </si>
  <si>
    <t>측정시간</t>
  </si>
  <si>
    <t>펌프유량 보정</t>
  </si>
  <si>
    <t>1층 스포티존</t>
  </si>
  <si>
    <t>시험항목</t>
  </si>
  <si>
    <t>점검항목</t>
  </si>
  <si>
    <t>5층 2-11</t>
  </si>
  <si>
    <t>전기화학식</t>
  </si>
  <si>
    <t>석면 유량</t>
  </si>
  <si>
    <t>M:
교실Co</t>
  </si>
  <si>
    <t>0-20미만</t>
  </si>
  <si>
    <t>4층 2-4</t>
  </si>
  <si>
    <t>특이사항</t>
  </si>
  <si>
    <t>진드기 키트</t>
  </si>
  <si>
    <t>측정 전</t>
  </si>
  <si>
    <t>제조
회사</t>
  </si>
  <si>
    <t>시료접수일</t>
  </si>
  <si>
    <t>학교시설</t>
  </si>
  <si>
    <t>한천배지</t>
  </si>
  <si>
    <t>상호(기관명)</t>
  </si>
  <si>
    <t>측정 후</t>
  </si>
  <si>
    <t>자연, 기계</t>
  </si>
  <si>
    <t>측정용도</t>
  </si>
  <si>
    <t>검사결과</t>
  </si>
  <si>
    <t>의뢰항목</t>
  </si>
  <si>
    <t>검사시간</t>
  </si>
  <si>
    <t>분석기간</t>
  </si>
  <si>
    <t>FAX번호</t>
  </si>
  <si>
    <t>측정조건</t>
  </si>
  <si>
    <t>②
시료채취</t>
  </si>
  <si>
    <t>총유기화합물</t>
  </si>
  <si>
    <t>낙하세균법</t>
  </si>
  <si>
    <t>NBA-04</t>
  </si>
  <si>
    <t>1층 2-12</t>
  </si>
  <si>
    <t>유치원 수업중</t>
  </si>
  <si>
    <t>SL-01</t>
  </si>
  <si>
    <t>4층 1-7반</t>
  </si>
  <si>
    <t>측정기기 사양</t>
  </si>
  <si>
    <t>검사장소</t>
  </si>
  <si>
    <t>시료번호2</t>
  </si>
  <si>
    <t>주요점검내용</t>
  </si>
  <si>
    <t>시료번호1</t>
  </si>
  <si>
    <t>1. 개요</t>
  </si>
  <si>
    <t>48Hr</t>
  </si>
  <si>
    <t>설립구분</t>
  </si>
  <si>
    <t>측정
항목</t>
  </si>
  <si>
    <t>틀별점검항목</t>
  </si>
  <si>
    <t>고등학생,성인</t>
  </si>
  <si>
    <t>BBA-01</t>
  </si>
  <si>
    <t>C103640</t>
  </si>
  <si>
    <t>3:1이하</t>
  </si>
  <si>
    <t>석면 습도</t>
  </si>
  <si>
    <t>NBA-05</t>
  </si>
  <si>
    <t>라돈
Rn</t>
  </si>
  <si>
    <t>디지털
조도계</t>
  </si>
  <si>
    <t>1층 1-12</t>
  </si>
  <si>
    <t xml:space="preserve">
환기
</t>
  </si>
  <si>
    <t>비분산적외선법</t>
  </si>
  <si>
    <t>화 장 실</t>
  </si>
  <si>
    <t>NBA-1~3</t>
  </si>
  <si>
    <t>⑤ 평가기준</t>
  </si>
  <si>
    <t>TM-01</t>
  </si>
  <si>
    <t>포름알데하이드</t>
  </si>
  <si>
    <t>관리책임자</t>
  </si>
  <si>
    <t>검사항목</t>
  </si>
  <si>
    <t>검사조건</t>
  </si>
  <si>
    <t>A11429</t>
  </si>
  <si>
    <t>A11412</t>
  </si>
  <si>
    <t>NBA-4~6</t>
  </si>
  <si>
    <t>4층 2-4반</t>
  </si>
  <si>
    <t>KW-1</t>
  </si>
  <si>
    <t>고유
번호</t>
  </si>
  <si>
    <t>A11416</t>
  </si>
  <si>
    <t>A11417</t>
  </si>
  <si>
    <t>A10741</t>
  </si>
  <si>
    <t>20이하</t>
  </si>
  <si>
    <t>측정항목2</t>
  </si>
  <si>
    <t>직접입력</t>
  </si>
  <si>
    <t>5층 1-9반</t>
  </si>
  <si>
    <t>기숙사</t>
  </si>
  <si>
    <t>평균</t>
  </si>
  <si>
    <t>)</t>
  </si>
  <si>
    <t>최대</t>
  </si>
  <si>
    <t>교무실</t>
  </si>
  <si>
    <t>-</t>
  </si>
  <si>
    <t>(</t>
  </si>
  <si>
    <t>C</t>
  </si>
  <si>
    <t>X</t>
  </si>
  <si>
    <t>비고</t>
  </si>
  <si>
    <t>석면</t>
  </si>
  <si>
    <t>오존</t>
  </si>
  <si>
    <t>유지</t>
  </si>
  <si>
    <t>측정일</t>
  </si>
  <si>
    <t>유재혁</t>
  </si>
  <si>
    <t>계산식</t>
  </si>
  <si>
    <t>V</t>
  </si>
  <si>
    <t>횟수</t>
  </si>
  <si>
    <t>기타</t>
  </si>
  <si>
    <t>후</t>
  </si>
  <si>
    <t>농도</t>
  </si>
  <si>
    <t>전</t>
  </si>
  <si>
    <t>교실수</t>
  </si>
  <si>
    <t>체육관</t>
  </si>
  <si>
    <t>판정</t>
  </si>
  <si>
    <t>조도</t>
  </si>
  <si>
    <t xml:space="preserve"> </t>
  </si>
  <si>
    <t>식당</t>
  </si>
  <si>
    <t>소음</t>
  </si>
  <si>
    <t>일반</t>
  </si>
  <si>
    <t>학교명</t>
  </si>
  <si>
    <t>시설명</t>
  </si>
  <si>
    <t>M</t>
  </si>
  <si>
    <t>이진혁</t>
  </si>
  <si>
    <t>압력</t>
  </si>
  <si>
    <t>곰팡이</t>
  </si>
  <si>
    <t>최소</t>
  </si>
  <si>
    <t>온도</t>
  </si>
  <si>
    <t>상수도</t>
  </si>
  <si>
    <t>진득이</t>
  </si>
  <si>
    <t>지점</t>
  </si>
  <si>
    <t>3번째</t>
  </si>
  <si>
    <t>합계</t>
  </si>
  <si>
    <t>CO2</t>
  </si>
  <si>
    <t>NO</t>
  </si>
  <si>
    <t>환기</t>
  </si>
  <si>
    <t>지하수</t>
  </si>
  <si>
    <t>n</t>
  </si>
  <si>
    <t>기압</t>
  </si>
  <si>
    <t>규모</t>
  </si>
  <si>
    <t>제조</t>
  </si>
  <si>
    <t>×</t>
  </si>
  <si>
    <t>난방</t>
  </si>
  <si>
    <t>측정중</t>
  </si>
  <si>
    <t>AB</t>
  </si>
  <si>
    <t>정수기</t>
  </si>
  <si>
    <t>BMD</t>
  </si>
  <si>
    <t>검사</t>
  </si>
  <si>
    <t>먹는물</t>
  </si>
  <si>
    <t>r</t>
  </si>
  <si>
    <t>N1</t>
  </si>
  <si>
    <t>인계자</t>
  </si>
  <si>
    <t>NO2</t>
  </si>
  <si>
    <t>평가</t>
  </si>
  <si>
    <t>진드기</t>
  </si>
  <si>
    <t>JIN</t>
  </si>
  <si>
    <t>2번째</t>
  </si>
  <si>
    <t>김종수</t>
  </si>
  <si>
    <t>박정식</t>
  </si>
  <si>
    <t>성명</t>
  </si>
  <si>
    <t>ㅊ</t>
  </si>
  <si>
    <t>저수조</t>
  </si>
  <si>
    <t>보건실</t>
  </si>
  <si>
    <t>습도</t>
  </si>
  <si>
    <t>없음</t>
  </si>
  <si>
    <t>기계</t>
  </si>
  <si>
    <t>VOC</t>
  </si>
  <si>
    <t>교실</t>
  </si>
  <si>
    <t>강당</t>
  </si>
  <si>
    <t>BBA</t>
  </si>
  <si>
    <t>인수자</t>
  </si>
  <si>
    <t>체육장</t>
  </si>
  <si>
    <t>NBA</t>
  </si>
  <si>
    <t>교장</t>
  </si>
  <si>
    <t>측정자</t>
  </si>
  <si>
    <t>N2</t>
  </si>
  <si>
    <t>중앙</t>
  </si>
  <si>
    <t>특별</t>
  </si>
  <si>
    <t>α</t>
  </si>
  <si>
    <t>Pr</t>
  </si>
  <si>
    <t>CFU</t>
  </si>
  <si>
    <t>분석자</t>
  </si>
  <si>
    <t>김신영</t>
  </si>
  <si>
    <t>충돌법</t>
  </si>
  <si>
    <t>소재지</t>
  </si>
  <si>
    <t>모델명</t>
  </si>
  <si>
    <t>김은주</t>
  </si>
  <si>
    <t>○</t>
  </si>
  <si>
    <t>측정값</t>
  </si>
  <si>
    <t>손옥기</t>
  </si>
  <si>
    <t>조리실</t>
  </si>
  <si>
    <t>개별</t>
  </si>
  <si>
    <t>마사토</t>
  </si>
  <si>
    <t>소속</t>
  </si>
  <si>
    <t>자연</t>
  </si>
  <si>
    <t>A</t>
  </si>
  <si>
    <t>1번째</t>
  </si>
  <si>
    <t>폐기물</t>
  </si>
  <si>
    <t>제작일</t>
  </si>
  <si>
    <t>급식실</t>
  </si>
  <si>
    <t>냉방</t>
  </si>
  <si>
    <t>적합</t>
  </si>
  <si>
    <t>공립</t>
  </si>
  <si>
    <r>
      <t xml:space="preserve">2. 시험방법
</t>
    </r>
    <r>
      <rPr>
        <sz val="11"/>
        <color rgb="FF000000"/>
        <rFont val="돋움"/>
        <family val="3"/>
        <charset val="129"/>
      </rPr>
      <t>학교 환경위생 및 식품위생 점검기준, 2장 점검방법 및 기준, 마항 학교시설에서의 공기질등, 5)항 낙하세균</t>
    </r>
  </si>
  <si>
    <r>
      <t xml:space="preserve">1. 일반사항
</t>
    </r>
    <r>
      <rPr>
        <b/>
        <sz val="6"/>
        <color rgb="FFFFFFFF"/>
        <rFont val="돋움"/>
        <family val="3"/>
        <charset val="129"/>
      </rPr>
      <t>oo</t>
    </r>
  </si>
  <si>
    <t>HCHO, VOC, BBA, NBA</t>
  </si>
  <si>
    <t>온도
(°C)
기준
(18~28)</t>
  </si>
  <si>
    <t>2. 학교시설 환경 측정 개요</t>
  </si>
  <si>
    <t>청소·소독시기 및 방법은 적정한가</t>
  </si>
  <si>
    <t>먹는 물은 수질기준에 적합한가</t>
  </si>
  <si>
    <t>경기도 안양시 동안구 학의로 186</t>
  </si>
  <si>
    <t>상·하수도 도면이 비치되어 있는가</t>
  </si>
  <si>
    <t>총부유세균
(800CFU/㎥)</t>
  </si>
  <si>
    <t>포름알데하이드
HCHO
(직독식)</t>
  </si>
  <si>
    <t>정화조는 적법하게 관리되고 있는가</t>
  </si>
  <si>
    <t>손씻는 전용시설과 소독설비가 있는가</t>
  </si>
  <si>
    <t>책상면(lux)
(300 이상)</t>
  </si>
  <si>
    <t>초미세먼지
PM2.5
(㎍/㎥)</t>
  </si>
  <si>
    <t>이산화
질소
NO2
(ppm)</t>
  </si>
  <si>
    <t>흡착관 번호
(TVOC측정시)</t>
  </si>
  <si>
    <t>O₃(오존)
(0.06ppm)</t>
  </si>
  <si>
    <t>TENMARS ELECTONICS</t>
  </si>
  <si>
    <t>수도관은 누수 또는 노후하지 않는가</t>
  </si>
  <si>
    <t>폐기물용기 및 배치장소는 청결한가</t>
  </si>
  <si>
    <t>수영조 욕수는 수질기준에 적합한가</t>
  </si>
  <si>
    <t>온도 압력 보정
(V25℃,1기압)</t>
  </si>
  <si>
    <t>실험폐수는 적법하게 처리되고 있는가</t>
  </si>
  <si>
    <t>매점주변 및 상품진열대는 청결한가</t>
  </si>
  <si>
    <t xml:space="preserve">유재혁              </t>
  </si>
  <si>
    <t>*첨부서류
  1. 시료채취기록부</t>
  </si>
  <si>
    <r>
      <t xml:space="preserve">한국환경보건연구소(주)
</t>
    </r>
    <r>
      <rPr>
        <b/>
        <sz val="12"/>
        <color rgb="FF000000"/>
        <rFont val="굴림"/>
        <family val="3"/>
        <charset val="129"/>
      </rPr>
      <t xml:space="preserve">
</t>
    </r>
    <r>
      <rPr>
        <b/>
        <sz val="10"/>
        <color rgb="FF000000"/>
        <rFont val="굴림"/>
        <family val="3"/>
        <charset val="129"/>
      </rPr>
      <t xml:space="preserve">        주   소 : 경기도 용인시 기흥구 금화로 106, 3층 
연락처 : 031-693-9640 </t>
    </r>
  </si>
  <si>
    <t>C : 공기 중 석면 및 섬유상 먼지의 농도(개/cm3)
A : 유효 포집면적(mm2)
N₁: 위상차현미경으로 계측한 시료의 총 섬유수(개)
N₂: 위상차현미경으로 계측한 바탕시료의 총 섬유수(개)
a : 현미경으로 계측한 1시야의 면적(mm2)
V(25°C, 1atm) : 환산한 채취 공기량(L)
n : 계수한 시야의 총수(개)</t>
  </si>
  <si>
    <r>
      <t>V(25°C, 1atm) : 25 °C, 1기압일 때 기체의 부피(m3)
T(25°C): 25 °C의 절대온도(°K),(298 °K = 273+25 °C)
P(1atm) : 1기압(atm)
V : 실제로 채취한 기체의 부피(m3) = (Q</t>
    </r>
    <r>
      <rPr>
        <sz val="8"/>
        <color rgb="FF000000"/>
        <rFont val="돋움"/>
        <family val="3"/>
        <charset val="129"/>
      </rPr>
      <t>ave * 시간)/103
T2 : 기체를 채취할 때의 절대온도(°K), (°K=273+°C)
P2 : 기체를 채취할 때의 기압(atm)</t>
    </r>
  </si>
  <si>
    <t>C : 실내 공기 중 총부유세균의 농도(CFU/m3)
CFU : 보정된 집락수
V(25°C, 1atm) : 환산된 채취공기량(m3)</t>
  </si>
  <si>
    <r>
      <t xml:space="preserve">※ 본 〇〇 학교 실내공기질 측정 결과 모두 “적합”인 것으로 분석됨
〇 실내공기질 관리를 위한 종합 의견
 </t>
    </r>
    <r>
      <rPr>
        <sz val="14"/>
        <color rgb="FF000000"/>
        <rFont val="맑은 고딕"/>
        <family val="3"/>
        <charset val="129"/>
      </rPr>
      <t>1. 환기 시스템 최적화 
· 자연 환기: 미세먼지가 보통 이하일 때 하루 최소 3회, 회당 30분 이상 맞통풍 환기를 실시하여 오염물질을 배출
· 기계 환기: 미세먼지가 '나쁨' 이상일 경우 창문을 닫고 기계식 환기 장치(공조기)를 가동
  - 조리/작업 공간: 주방 후드, 국소배기장치를 상시 가동하여 오염물질 확산 방지
2. 실내 온/습도의 관리
· 다중이용시설의 실내공기질은 겨울철 18~21℃, 여름철 24~27℃의 적정 온도를 유지하고, 습도는 40~60%로 관리
· 제습기 또는 가습기를 활용하기 습도 조절과 자연환기를 통해 온도,습도 조절
3. 오염물질 발생원 관리
· 친환경 자재: 시설 보수나 리모델링 시 친환경 건축 자재를 사용하여 폼알데하이드 등 유해물질을 원천 차단
· 청소 및 유지보수: 미세먼지와 진드기 억제를 위해 물걸레 청소를 주기적으로 실시하며, 환기 필터는 정기적으로 교체
· 금연 및 방향제 자제: 실내 흡연을 철저히 금지하고, 합성 방향제 대신 자연 환기 강화
· 사무용 기기 등에 의한 오염물 관리
 4. 기술적/시스템적 관리
· 스마트 모니터링: 일산화탄소, 블랙카본, 이산화탄소 센서를 설치하여 실시간 공기질을 예측 및 대응
· 공기청정기/공기청정기: 기계식 환기장치가 없는 경우, 고성능 필터(HEPA)가 장착된 공기청정기 사용
· 법적 기준 준수: 지하역사, 도서관, 어린이집 등 시설 종류별로 지정된 실내공기질 유지기준(PM-10, CO2, 폼알데하이드 등)을 준수
5. 제도적 관리 및 지원
· 환경부 진단 지원: 어린이집, 노인요양시설 등 민감계층 이용시설에 대해 환경공단이 공기질 측정 및 개선방안을 지원
· 관리자 교육: 실내공기질 관리법에 따라 시설 소유자는 정기적인 관리 교육의 이수</t>
    </r>
  </si>
  <si>
    <t>2-11, 2-4, (도제)회계실무실습실, 1-9, 1-7, (도제)세무실습실, 급식실, 체육관, 보건실, 교무실, 1-12, 2-12, 스포티존</t>
  </si>
  <si>
    <t>KEH-QPI서식-17-01 (Rev. 00)                                                                                                                       A4(210×297mm)</t>
  </si>
  <si>
    <t>V(25 °C,1atm)</t>
  </si>
  <si>
    <t>비(최대:최소)
(3:1)</t>
  </si>
  <si>
    <t>이산화탄소
CO2
(ppm)</t>
  </si>
  <si>
    <t>ISCFW2500037</t>
  </si>
  <si>
    <t xml:space="preserve">1000 ㎍/㎥
이하 </t>
  </si>
  <si>
    <t>14:25 ~ 14:35</t>
  </si>
  <si>
    <t>PM10
(75µg/㎥)</t>
  </si>
  <si>
    <t>한국환경보건연구소(주)</t>
  </si>
  <si>
    <t>환산 계산 및 농도 계산값</t>
  </si>
  <si>
    <t xml:space="preserve">10 CFU/실
이하 </t>
  </si>
  <si>
    <t xml:space="preserve">오존
O₃
(ppm)
</t>
  </si>
  <si>
    <t>자일렌
(700µg/㎥)</t>
  </si>
  <si>
    <t>총부유
세균
(CFU/㎥)</t>
  </si>
  <si>
    <t>낙하
세균
(CFU/실)</t>
  </si>
  <si>
    <t>조도비
(칠판면)
3:1</t>
  </si>
  <si>
    <t>13:26 ~ 13:36</t>
  </si>
  <si>
    <t>NO2
(0.05ppm)</t>
  </si>
  <si>
    <t>평균 유속
(L/min)</t>
  </si>
  <si>
    <t>미세먼지
PM10
(㎍/㎥)</t>
  </si>
  <si>
    <t>HCHO
(80µg/㎥)</t>
  </si>
  <si>
    <t>반도체
(Band Gap)</t>
  </si>
  <si>
    <t>낙하세균
(10CFU/실)</t>
  </si>
  <si>
    <t>조도비
(책상면)
3:1</t>
  </si>
  <si>
    <t>소음
(dB)
(55 이하)</t>
  </si>
  <si>
    <t>습도
(%)
(30~80)</t>
  </si>
  <si>
    <t>Rn
(148Bq/㎥)</t>
  </si>
  <si>
    <t>석면 유량 온도, 압력 보정</t>
  </si>
  <si>
    <t>스티렌
(300µg/㎥)</t>
  </si>
  <si>
    <t>포름알데하이드
(DNPH)</t>
  </si>
  <si>
    <t>유치원,초등학교(저학년)</t>
  </si>
  <si>
    <t>포집 유송(L/min)</t>
  </si>
  <si>
    <t>톨루엔
(1,000µg/㎥)</t>
  </si>
  <si>
    <t>상 수 도
및
하 수 도</t>
  </si>
  <si>
    <t>TVOC
(400µg/㎥)</t>
  </si>
  <si>
    <t>1,2,3 합계
평균
CFU</t>
  </si>
  <si>
    <t>초등학교(고학년),중학생</t>
  </si>
  <si>
    <t>진열·보관 판매하고 있는가</t>
  </si>
  <si>
    <t>PM10
(150µg/㎥)</t>
  </si>
  <si>
    <t>④ 
낙하세균
(CFU)</t>
  </si>
  <si>
    <t>진드기
(100마리/㎡)</t>
  </si>
  <si>
    <t>800 
CFU/㎥
이하</t>
  </si>
  <si>
    <t>15:00 ~ 15:10</t>
  </si>
  <si>
    <t>031-387-0274</t>
  </si>
  <si>
    <t>13:38 ~ 13:48</t>
  </si>
  <si>
    <t>13:00 ~ 14:00</t>
  </si>
  <si>
    <t>14:05 ~ 15:05</t>
  </si>
  <si>
    <t>박정식       (인)</t>
  </si>
  <si>
    <t>PM2.5
(35µg/㎥)</t>
  </si>
  <si>
    <t>석면
(0.01개/cc)</t>
  </si>
  <si>
    <t>14:02 ~ 14:12</t>
  </si>
  <si>
    <t>13:49 ~ 13:59</t>
  </si>
  <si>
    <t>13:00 ~ 15:10</t>
  </si>
  <si>
    <t>에틸벤젠
(350µg/㎥)</t>
  </si>
  <si>
    <t>13:12 ~ 14:12</t>
  </si>
  <si>
    <t>1층 (도제)회계실무실습실</t>
  </si>
  <si>
    <t>14:13 ~ 14:23</t>
  </si>
  <si>
    <t>14:46 ~ 14:56</t>
  </si>
  <si>
    <t>포름알데하이드
(직독식)</t>
  </si>
  <si>
    <t>2층 (도제)세무실무실습실</t>
  </si>
  <si>
    <t>031-387-0275</t>
  </si>
  <si>
    <t>13:03 ~ 13:13</t>
  </si>
  <si>
    <t>13:15 ~ 13:25</t>
  </si>
  <si>
    <t>CO2
(1,000ppm)</t>
  </si>
  <si>
    <t>시 험 기 록 부</t>
  </si>
  <si>
    <t>26.04.17</t>
  </si>
  <si>
    <t>(273+25)</t>
  </si>
  <si>
    <t>※ 채취공기량 계산식</t>
  </si>
  <si>
    <t>기압(mmHg)</t>
  </si>
  <si>
    <t>KMS-5100</t>
  </si>
  <si>
    <t>빈교실 일반교실</t>
  </si>
  <si>
    <t>TVOC
(직독식)</t>
  </si>
  <si>
    <t xml:space="preserve">TVOC
(㎍/㎥)
</t>
  </si>
  <si>
    <t xml:space="preserve">TM-01
</t>
  </si>
  <si>
    <t>석면
(석면없음)</t>
  </si>
  <si>
    <t>21.07.12</t>
  </si>
  <si>
    <t>박정식, 김은주</t>
  </si>
  <si>
    <t>26.02.13</t>
  </si>
  <si>
    <t>조도비
(칠판면)</t>
  </si>
  <si>
    <t>10 ppm
이하</t>
  </si>
  <si>
    <t xml:space="preserve">360 ㎍/㎥
이하 </t>
  </si>
  <si>
    <t>(서명 또는 인)</t>
  </si>
  <si>
    <t>측정 및 분석 항목</t>
  </si>
  <si>
    <t>35 ㎍/㎥
이하</t>
  </si>
  <si>
    <t>수업중 일반교실</t>
  </si>
  <si>
    <t>낙하세균,부유세균</t>
  </si>
  <si>
    <t>소음
(dB(A))</t>
  </si>
  <si>
    <t>자일렌
(㎍/㎥)</t>
  </si>
  <si>
    <t>75 ㎍/㎥
이하</t>
  </si>
  <si>
    <t>에틸벤젠
(㎍/㎥)</t>
  </si>
  <si>
    <t>SL-4033SD</t>
  </si>
  <si>
    <t>켐익
코퍼레이션</t>
  </si>
  <si>
    <t>스티렌
(㎍/㎥)</t>
  </si>
  <si>
    <t>④
측정
분석
결과</t>
  </si>
  <si>
    <t>자일렌
(㎍/㎥</t>
  </si>
  <si>
    <t>실내공기질 측정기록부</t>
  </si>
  <si>
    <t>특별점검 1-1반</t>
  </si>
  <si>
    <t>위상차
현미경법</t>
  </si>
  <si>
    <t>30 ㎍/㎥
이하</t>
  </si>
  <si>
    <t>0.06 ppm
이하</t>
  </si>
  <si>
    <t>A.P. BUCK</t>
  </si>
  <si>
    <t xml:space="preserve">700 ㎍/㎥
이하 </t>
  </si>
  <si>
    <t>톨루엔
(㎍/㎥)</t>
  </si>
  <si>
    <t>벤젠
(30µg/㎥)</t>
  </si>
  <si>
    <t>총포집유량(V)</t>
  </si>
  <si>
    <t>26.03.03</t>
  </si>
  <si>
    <t>148 Bq/㎥</t>
  </si>
  <si>
    <t>1000 ppm
이하</t>
  </si>
  <si>
    <t>총휘발성유기화합물</t>
  </si>
  <si>
    <t xml:space="preserve">지우지 말것!!!! </t>
  </si>
  <si>
    <t>TC10364004</t>
  </si>
  <si>
    <t>시료접수 및 인계서</t>
  </si>
  <si>
    <t>※ 농도 계산식</t>
  </si>
  <si>
    <t>포집시간
(min)</t>
  </si>
  <si>
    <t>25.06.18</t>
  </si>
  <si>
    <t>[별지 제21호서식]</t>
  </si>
  <si>
    <t>체육관 및 강당</t>
  </si>
  <si>
    <t xml:space="preserve">일산화탄소
CO
</t>
  </si>
  <si>
    <t>벤젠
(㎍/㎥)</t>
  </si>
  <si>
    <t>채취 시료 정보</t>
  </si>
  <si>
    <t>조도비
(책상면)</t>
  </si>
  <si>
    <t>시료
인계
사항</t>
  </si>
  <si>
    <t>TVOC
(㎍/㎥)</t>
  </si>
  <si>
    <t>대상시설(시료명)</t>
  </si>
  <si>
    <t>에틸벤젼
(㎍/㎥)</t>
  </si>
  <si>
    <t>조도
(칠판면)</t>
  </si>
  <si>
    <t>대표자
(의뢰인)</t>
  </si>
  <si>
    <t>모든항목 기준치 적합</t>
  </si>
  <si>
    <t>400 ㎍/㎥
이하</t>
  </si>
  <si>
    <t>2026.06.10</t>
  </si>
  <si>
    <t>KEH-M-02</t>
  </si>
  <si>
    <t>기 타
환경위생</t>
  </si>
  <si>
    <t>학교명
(시설명)</t>
  </si>
  <si>
    <t>BIO-CULTURE</t>
  </si>
  <si>
    <t>26.02.27</t>
  </si>
  <si>
    <t>300 Lux이상</t>
  </si>
  <si>
    <t>조도
(책상면)</t>
  </si>
  <si>
    <t>0.05 ppm
이하</t>
  </si>
  <si>
    <t>CO
(10ppm)</t>
  </si>
  <si>
    <t>55 dB(A)
이하</t>
  </si>
  <si>
    <t>26.03.05</t>
  </si>
  <si>
    <t>5층 2-11반</t>
  </si>
  <si>
    <t>KEH-SL-01</t>
  </si>
  <si>
    <t>KEH-H-01</t>
  </si>
  <si>
    <t>1,2,3 합계
평균</t>
  </si>
  <si>
    <t xml:space="preserve">300 ㎍/㎥
이하 </t>
  </si>
  <si>
    <t>KEH-V-01</t>
  </si>
  <si>
    <t>80 ug/㎥
이하</t>
  </si>
  <si>
    <t>150 ㎍/㎥
이하</t>
  </si>
  <si>
    <t>KEH-DU-01</t>
  </si>
  <si>
    <t>1층 1-12반</t>
  </si>
  <si>
    <t>평촌경영고등학교</t>
  </si>
  <si>
    <t>KEH-KW-01</t>
  </si>
  <si>
    <t>2층 2-12반</t>
  </si>
  <si>
    <t>KEH-TM-01</t>
  </si>
  <si>
    <r>
      <t>④ 
부
유
세
균
(CFU/m</t>
    </r>
    <r>
      <rPr>
        <b/>
        <vertAlign val="superscript"/>
        <sz val="11"/>
        <color rgb="FF000000"/>
        <rFont val="한양신명조"/>
        <family val="3"/>
        <charset val="129"/>
      </rPr>
      <t>3</t>
    </r>
    <r>
      <rPr>
        <b/>
        <sz val="11"/>
        <color rgb="FF000000"/>
        <rFont val="한양신명조"/>
        <family val="3"/>
        <charset val="129"/>
      </rPr>
      <t xml:space="preserve">) </t>
    </r>
  </si>
  <si>
    <t>비품비치 상태 및 시설설비는 고장이 없는가</t>
  </si>
  <si>
    <t>2026년 03월 28일 ~ 03월 29일</t>
  </si>
  <si>
    <t>HANGANG
Prepared Media</t>
  </si>
  <si>
    <t>입영자의 위생·안전지도가 이루어지는가</t>
  </si>
  <si>
    <t>쥐 및 위생해충 등을 제거하여 없는가</t>
  </si>
  <si>
    <t>포름알데하이드
HCHO
( DNPH)</t>
  </si>
  <si>
    <t>시설설비 및 부대시설의 관리는 양호한가</t>
  </si>
  <si>
    <t>2026-03-30~
2026-06-29</t>
  </si>
  <si>
    <t>수목·화초의 방제시기 및 방법은 적정한가</t>
  </si>
  <si>
    <t>우수·오수시설 설비는 제기능을 하는가</t>
  </si>
  <si>
    <t>Ct : t시간후 평균 이산화탄소 농도</t>
  </si>
  <si>
    <t>폐기물의 구분, 처리방법·횟수는 적당한가</t>
  </si>
  <si>
    <t>26.03.03.~
26.03.06.</t>
  </si>
  <si>
    <t>조도
칠판면(lux)
(300 이상)</t>
  </si>
  <si>
    <t>물탱크는 정기적 청소와 점검을 하였는가</t>
  </si>
  <si>
    <t>폐기물 용기의 재질,구조 등은 적당한가</t>
  </si>
  <si>
    <t>청결상태, 채광·조명, 환기상태가 양호한가</t>
  </si>
  <si>
    <t>3-2 학교시설에서의 공기질 외 항목</t>
  </si>
  <si>
    <t>2026.06.12~2026.06.16.</t>
  </si>
  <si>
    <t>2026년 06월 12일 ~ 06월 13일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</si>
</sst>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1" formatCode="_-* #,##0_-;\-* #,##0_-;_-* &quot;-&quot;_-;_-@_-"/>
    <numFmt numFmtId="176" formatCode="0.000_ "/>
    <numFmt numFmtId="177" formatCode="yyyy&quot;년&quot;\ m&quot;월&quot;\ d&quot;일&quot;;@"/>
    <numFmt numFmtId="178" formatCode="0.0_ "/>
    <numFmt numFmtId="179" formatCode="0.0_);[Red]\(0.0\)"/>
    <numFmt numFmtId="180" formatCode="0_ "/>
    <numFmt numFmtId="181" formatCode="0.00000_);[Red]\(0.00000\)"/>
    <numFmt numFmtId="182" formatCode="0.000_);[Red]\(0.000\)"/>
    <numFmt numFmtId="183" formatCode="0.00_ "/>
    <numFmt numFmtId="184" formatCode="#,##0;\-#,##0;\-"/>
    <numFmt numFmtId="185" formatCode="#,##0.0_ "/>
    <numFmt numFmtId="186" formatCode="#,##0.000_ "/>
    <numFmt numFmtId="187" formatCode="#,##0_ "/>
    <numFmt numFmtId="188" formatCode="#,##0.00_ "/>
    <numFmt numFmtId="189" formatCode="#,##0.0000_ "/>
    <numFmt numFmtId="190" formatCode="0.000"/>
    <numFmt numFmtId="191" formatCode="0_);[Red]\(0\)"/>
    <numFmt numFmtId="192" formatCode="0.00000_ "/>
  </numFmts>
  <fonts count="38">
    <font>
      <sz val="11"/>
      <color rgb="FF000000"/>
      <name val="맑은 고딕"/>
    </font>
    <font>
      <b/>
      <sz val="11"/>
      <color rgb="FF000000"/>
      <name val="돋움"/>
      <family val="3"/>
      <charset val="129"/>
    </font>
    <font>
      <sz val="9.5"/>
      <color rgb="FF000000"/>
      <name val="돋움"/>
      <family val="3"/>
      <charset val="129"/>
    </font>
    <font>
      <b/>
      <sz val="7"/>
      <color rgb="FF000000"/>
      <name val="돋움"/>
      <family val="3"/>
      <charset val="129"/>
    </font>
    <font>
      <b/>
      <sz val="11"/>
      <color rgb="FF000000"/>
      <name val="한양신명조"/>
      <family val="3"/>
      <charset val="129"/>
    </font>
    <font>
      <sz val="9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HY신명조"/>
      <family val="1"/>
      <charset val="129"/>
    </font>
    <font>
      <sz val="11"/>
      <color rgb="FFFF0000"/>
      <name val="HY신명조"/>
      <family val="1"/>
      <charset val="129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FF0000"/>
      <name val="HY신명조"/>
      <family val="1"/>
      <charset val="129"/>
    </font>
    <font>
      <b/>
      <sz val="11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b/>
      <sz val="15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5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24"/>
      <color rgb="FF000000"/>
      <name val="HY신명조"/>
      <family val="1"/>
      <charset val="129"/>
    </font>
    <font>
      <b/>
      <sz val="16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7.5"/>
      <color rgb="FF000000"/>
      <name val="돋움"/>
      <family val="3"/>
      <charset val="129"/>
    </font>
    <font>
      <b/>
      <sz val="6"/>
      <color rgb="FFFFFFFF"/>
      <name val="돋움"/>
      <family val="3"/>
      <charset val="129"/>
    </font>
    <font>
      <b/>
      <sz val="12"/>
      <color rgb="FF000000"/>
      <name val="굴림"/>
      <family val="3"/>
      <charset val="129"/>
    </font>
    <font>
      <b/>
      <vertAlign val="superscript"/>
      <sz val="11"/>
      <color rgb="FF000000"/>
      <name val="한양신명조"/>
      <family val="3"/>
      <charset val="129"/>
    </font>
    <font>
      <b/>
      <sz val="9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AF3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3E2D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CFD3DA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6182D6"/>
        <bgColor indexed="64"/>
      </patternFill>
    </fill>
    <fill>
      <patternFill patternType="solid">
        <fgColor rgb="FFE7D8D8"/>
        <bgColor indexed="64"/>
      </patternFill>
    </fill>
    <fill>
      <patternFill patternType="solid">
        <fgColor rgb="FFD3D3EB"/>
        <bgColor indexed="64"/>
      </patternFill>
    </fill>
    <fill>
      <patternFill patternType="solid">
        <fgColor rgb="FFFF843A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D3D7E4"/>
        <bgColor indexed="64"/>
      </patternFill>
    </fill>
    <fill>
      <patternFill patternType="solid">
        <fgColor rgb="FFE7E5CE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</cellStyleXfs>
  <cellXfs count="110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176" fontId="0" fillId="0" borderId="7" xfId="0" applyNumberForma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8" fontId="5" fillId="0" borderId="7" xfId="0" applyNumberFormat="1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182" fontId="0" fillId="0" borderId="7" xfId="0" applyNumberFormat="1" applyBorder="1" applyAlignment="1">
      <alignment vertical="center" shrinkToFit="1"/>
    </xf>
    <xf numFmtId="178" fontId="6" fillId="0" borderId="7" xfId="0" applyNumberFormat="1" applyFont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0" fillId="0" borderId="9" xfId="0" applyBorder="1" applyAlignment="1">
      <alignment horizontal="center" vertical="center" shrinkToFit="1"/>
    </xf>
    <xf numFmtId="182" fontId="0" fillId="0" borderId="10" xfId="0" applyNumberFormat="1" applyBorder="1" applyAlignment="1">
      <alignment vertical="center" shrinkToFit="1"/>
    </xf>
    <xf numFmtId="178" fontId="6" fillId="0" borderId="10" xfId="0" applyNumberFormat="1" applyFont="1" applyBorder="1" applyAlignment="1">
      <alignment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/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0" fontId="0" fillId="8" borderId="0" xfId="0" applyFill="1">
      <alignment vertical="center"/>
    </xf>
    <xf numFmtId="0" fontId="12" fillId="0" borderId="16" xfId="1" applyFont="1" applyBorder="1" applyAlignment="1">
      <alignment horizontal="center" vertical="center" wrapText="1"/>
    </xf>
    <xf numFmtId="0" fontId="12" fillId="9" borderId="16" xfId="1" applyFont="1" applyFill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9" borderId="17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9" borderId="0" xfId="1" applyFont="1" applyFill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9" borderId="18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vertical="center" wrapText="1"/>
    </xf>
    <xf numFmtId="0" fontId="13" fillId="11" borderId="1" xfId="1" applyFont="1" applyFill="1" applyBorder="1" applyAlignment="1">
      <alignment vertical="center" wrapText="1"/>
    </xf>
    <xf numFmtId="0" fontId="13" fillId="11" borderId="1" xfId="1" applyFont="1" applyFill="1" applyBorder="1" applyAlignment="1">
      <alignment horizontal="center" vertical="center" wrapText="1"/>
    </xf>
    <xf numFmtId="178" fontId="5" fillId="0" borderId="7" xfId="0" applyNumberFormat="1" applyFont="1" applyBorder="1" applyAlignment="1">
      <alignment vertical="center" shrinkToFit="1"/>
    </xf>
    <xf numFmtId="41" fontId="0" fillId="0" borderId="1" xfId="0" applyNumberFormat="1" applyBorder="1" applyAlignment="1">
      <alignment horizontal="center" vertical="center"/>
    </xf>
    <xf numFmtId="0" fontId="13" fillId="11" borderId="12" xfId="1" applyFont="1" applyFill="1" applyBorder="1" applyAlignment="1">
      <alignment horizontal="center" vertical="center" wrapText="1"/>
    </xf>
    <xf numFmtId="0" fontId="13" fillId="11" borderId="5" xfId="1" applyFont="1" applyFill="1" applyBorder="1" applyAlignment="1">
      <alignment vertical="center" wrapText="1"/>
    </xf>
    <xf numFmtId="0" fontId="13" fillId="11" borderId="19" xfId="1" applyFont="1" applyFill="1" applyBorder="1" applyAlignment="1">
      <alignment vertical="center" wrapText="1"/>
    </xf>
    <xf numFmtId="0" fontId="13" fillId="11" borderId="13" xfId="1" applyFont="1" applyFill="1" applyBorder="1" applyAlignment="1">
      <alignment vertical="center" wrapText="1"/>
    </xf>
    <xf numFmtId="178" fontId="11" fillId="0" borderId="1" xfId="1" applyNumberFormat="1" applyFont="1" applyBorder="1" applyAlignment="1">
      <alignment horizontal="center" vertical="center" wrapText="1"/>
    </xf>
    <xf numFmtId="14" fontId="11" fillId="0" borderId="1" xfId="0" applyNumberFormat="1" applyFont="1" applyBorder="1">
      <alignment vertical="center"/>
    </xf>
    <xf numFmtId="0" fontId="11" fillId="0" borderId="0" xfId="1" applyFont="1" applyAlignment="1">
      <alignment horizontal="center" vertical="center" wrapText="1"/>
    </xf>
    <xf numFmtId="0" fontId="36" fillId="0" borderId="20" xfId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3" xfId="1" applyFont="1" applyBorder="1">
      <alignment vertical="center"/>
    </xf>
    <xf numFmtId="0" fontId="11" fillId="0" borderId="5" xfId="1" applyFont="1" applyBorder="1">
      <alignment vertical="center"/>
    </xf>
    <xf numFmtId="0" fontId="11" fillId="0" borderId="8" xfId="1" applyFont="1" applyBorder="1">
      <alignment vertical="center"/>
    </xf>
    <xf numFmtId="0" fontId="11" fillId="0" borderId="24" xfId="1" applyFont="1" applyBorder="1">
      <alignment vertical="center"/>
    </xf>
    <xf numFmtId="0" fontId="11" fillId="0" borderId="2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3" fillId="10" borderId="0" xfId="1" applyFont="1" applyFill="1" applyAlignment="1">
      <alignment horizontal="center" vertical="center" wrapText="1"/>
    </xf>
    <xf numFmtId="0" fontId="13" fillId="10" borderId="0" xfId="1" applyFont="1" applyFill="1" applyAlignment="1">
      <alignment vertical="center" wrapText="1"/>
    </xf>
    <xf numFmtId="184" fontId="13" fillId="0" borderId="1" xfId="1" applyNumberFormat="1" applyFont="1" applyBorder="1" applyAlignment="1">
      <alignment horizontal="center" vertical="center" wrapText="1"/>
    </xf>
    <xf numFmtId="184" fontId="13" fillId="0" borderId="26" xfId="1" applyNumberFormat="1" applyFont="1" applyBorder="1" applyAlignment="1">
      <alignment horizontal="center" vertical="center" wrapText="1"/>
    </xf>
    <xf numFmtId="184" fontId="13" fillId="0" borderId="27" xfId="1" applyNumberFormat="1" applyFont="1" applyBorder="1" applyAlignment="1">
      <alignment horizontal="center" vertical="center" wrapText="1"/>
    </xf>
    <xf numFmtId="184" fontId="13" fillId="0" borderId="12" xfId="1" applyNumberFormat="1" applyFont="1" applyBorder="1" applyAlignment="1">
      <alignment horizontal="justify" vertical="center" wrapText="1"/>
    </xf>
    <xf numFmtId="184" fontId="13" fillId="0" borderId="12" xfId="1" applyNumberFormat="1" applyFont="1" applyBorder="1" applyAlignment="1">
      <alignment horizontal="center" vertical="center" wrapText="1"/>
    </xf>
    <xf numFmtId="184" fontId="13" fillId="0" borderId="13" xfId="1" applyNumberFormat="1" applyFont="1" applyBorder="1" applyAlignment="1">
      <alignment horizontal="center" vertical="center" wrapText="1"/>
    </xf>
    <xf numFmtId="184" fontId="13" fillId="11" borderId="21" xfId="1" applyNumberFormat="1" applyFont="1" applyFill="1" applyBorder="1" applyAlignment="1">
      <alignment vertical="center" wrapText="1"/>
    </xf>
    <xf numFmtId="184" fontId="13" fillId="10" borderId="21" xfId="1" applyNumberFormat="1" applyFont="1" applyFill="1" applyBorder="1" applyAlignment="1">
      <alignment vertical="center" wrapText="1"/>
    </xf>
    <xf numFmtId="180" fontId="11" fillId="0" borderId="1" xfId="1" applyNumberFormat="1" applyFont="1" applyBorder="1" applyAlignment="1">
      <alignment horizontal="center" vertical="center" wrapText="1"/>
    </xf>
    <xf numFmtId="176" fontId="13" fillId="10" borderId="0" xfId="1" applyNumberFormat="1" applyFont="1" applyFill="1" applyAlignment="1">
      <alignment horizontal="center" vertical="center" wrapText="1"/>
    </xf>
    <xf numFmtId="176" fontId="13" fillId="10" borderId="0" xfId="1" applyNumberFormat="1" applyFont="1" applyFill="1" applyAlignment="1">
      <alignment vertical="center" wrapText="1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right" vertical="center"/>
    </xf>
    <xf numFmtId="49" fontId="15" fillId="0" borderId="30" xfId="0" applyNumberFormat="1" applyFont="1" applyBorder="1">
      <alignment vertical="center"/>
    </xf>
    <xf numFmtId="49" fontId="14" fillId="0" borderId="30" xfId="0" applyNumberFormat="1" applyFont="1" applyBorder="1">
      <alignment vertical="center"/>
    </xf>
    <xf numFmtId="0" fontId="0" fillId="0" borderId="15" xfId="0" applyBorder="1">
      <alignment vertical="center"/>
    </xf>
    <xf numFmtId="49" fontId="0" fillId="0" borderId="0" xfId="0" applyNumberFormat="1" applyAlignment="1">
      <alignment horizontal="center" vertical="center"/>
    </xf>
    <xf numFmtId="184" fontId="11" fillId="0" borderId="1" xfId="1" applyNumberFormat="1" applyFont="1" applyBorder="1" applyAlignment="1">
      <alignment horizontal="center" vertical="center" wrapText="1"/>
    </xf>
    <xf numFmtId="178" fontId="11" fillId="0" borderId="0" xfId="1" applyNumberFormat="1" applyFont="1" applyAlignment="1">
      <alignment horizontal="center" vertical="center" wrapText="1"/>
    </xf>
    <xf numFmtId="184" fontId="13" fillId="0" borderId="31" xfId="1" applyNumberFormat="1" applyFont="1" applyBorder="1" applyAlignment="1">
      <alignment horizontal="center" vertical="center" wrapText="1"/>
    </xf>
    <xf numFmtId="184" fontId="13" fillId="10" borderId="24" xfId="1" applyNumberFormat="1" applyFont="1" applyFill="1" applyBorder="1" applyAlignment="1">
      <alignment horizontal="center" vertical="center" wrapText="1"/>
    </xf>
    <xf numFmtId="184" fontId="13" fillId="10" borderId="32" xfId="1" applyNumberFormat="1" applyFont="1" applyFill="1" applyBorder="1" applyAlignment="1">
      <alignment horizontal="center" vertical="center" wrapText="1"/>
    </xf>
    <xf numFmtId="184" fontId="13" fillId="0" borderId="33" xfId="1" applyNumberFormat="1" applyFont="1" applyBorder="1" applyAlignment="1">
      <alignment horizontal="center" vertical="center" wrapText="1"/>
    </xf>
    <xf numFmtId="184" fontId="13" fillId="0" borderId="34" xfId="1" applyNumberFormat="1" applyFont="1" applyBorder="1" applyAlignment="1">
      <alignment horizontal="center" vertical="center" wrapText="1"/>
    </xf>
    <xf numFmtId="184" fontId="13" fillId="0" borderId="35" xfId="1" applyNumberFormat="1" applyFont="1" applyBorder="1" applyAlignment="1">
      <alignment horizontal="center" vertical="center" wrapText="1"/>
    </xf>
    <xf numFmtId="184" fontId="11" fillId="0" borderId="1" xfId="0" applyNumberFormat="1" applyFont="1" applyBorder="1" applyAlignment="1">
      <alignment horizontal="center" vertical="center"/>
    </xf>
    <xf numFmtId="185" fontId="11" fillId="0" borderId="1" xfId="1" applyNumberFormat="1" applyFont="1" applyBorder="1" applyAlignment="1">
      <alignment horizontal="center" vertical="center" wrapText="1"/>
    </xf>
    <xf numFmtId="185" fontId="13" fillId="0" borderId="33" xfId="1" applyNumberFormat="1" applyFont="1" applyBorder="1" applyAlignment="1">
      <alignment horizontal="center" vertical="center" wrapText="1"/>
    </xf>
    <xf numFmtId="185" fontId="13" fillId="0" borderId="34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/>
    </xf>
    <xf numFmtId="0" fontId="11" fillId="0" borderId="2" xfId="1" applyFont="1" applyBorder="1">
      <alignment vertical="center"/>
    </xf>
    <xf numFmtId="0" fontId="11" fillId="0" borderId="2" xfId="1" applyFont="1" applyBorder="1" applyAlignment="1">
      <alignment horizontal="center" vertical="center"/>
    </xf>
    <xf numFmtId="0" fontId="36" fillId="0" borderId="1" xfId="1" applyBorder="1" applyAlignment="1">
      <alignment horizontal="center" vertical="center" wrapText="1"/>
    </xf>
    <xf numFmtId="178" fontId="36" fillId="0" borderId="1" xfId="1" applyNumberFormat="1" applyBorder="1" applyAlignment="1">
      <alignment horizontal="center" vertical="center" wrapText="1"/>
    </xf>
    <xf numFmtId="176" fontId="36" fillId="0" borderId="1" xfId="1" applyNumberFormat="1" applyBorder="1" applyAlignment="1">
      <alignment horizontal="center" vertical="center" wrapText="1"/>
    </xf>
    <xf numFmtId="0" fontId="36" fillId="7" borderId="1" xfId="1" applyFill="1" applyBorder="1" applyAlignment="1">
      <alignment horizontal="center" vertical="center" wrapText="1"/>
    </xf>
    <xf numFmtId="0" fontId="36" fillId="0" borderId="1" xfId="1" applyBorder="1" applyAlignment="1">
      <alignment vertical="center" wrapText="1"/>
    </xf>
    <xf numFmtId="184" fontId="36" fillId="0" borderId="1" xfId="1" applyNumberFormat="1" applyBorder="1" applyAlignment="1">
      <alignment horizontal="center" vertical="center" wrapText="1"/>
    </xf>
    <xf numFmtId="184" fontId="13" fillId="0" borderId="5" xfId="1" applyNumberFormat="1" applyFont="1" applyBorder="1" applyAlignment="1">
      <alignment horizontal="center" vertical="center" wrapText="1"/>
    </xf>
    <xf numFmtId="184" fontId="13" fillId="0" borderId="19" xfId="1" applyNumberFormat="1" applyFont="1" applyBorder="1" applyAlignment="1">
      <alignment horizontal="center" vertical="center" wrapText="1"/>
    </xf>
    <xf numFmtId="58" fontId="8" fillId="0" borderId="1" xfId="0" applyNumberFormat="1" applyFont="1" applyBorder="1" applyAlignment="1">
      <alignment horizontal="center" vertical="center" wrapText="1"/>
    </xf>
    <xf numFmtId="184" fontId="8" fillId="0" borderId="1" xfId="0" applyNumberFormat="1" applyFont="1" applyBorder="1" applyAlignment="1">
      <alignment horizontal="center" vertical="center" wrapText="1"/>
    </xf>
    <xf numFmtId="176" fontId="8" fillId="6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183" fontId="8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8" fontId="16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84" fontId="13" fillId="0" borderId="36" xfId="1" applyNumberFormat="1" applyFont="1" applyBorder="1" applyAlignment="1">
      <alignment horizontal="center" vertical="center" wrapText="1"/>
    </xf>
    <xf numFmtId="0" fontId="8" fillId="6" borderId="11" xfId="0" applyFont="1" applyFill="1" applyBorder="1" applyAlignment="1">
      <alignment vertical="center" wrapText="1"/>
    </xf>
    <xf numFmtId="184" fontId="11" fillId="0" borderId="0" xfId="1" applyNumberFormat="1" applyFont="1" applyAlignment="1">
      <alignment horizontal="center" vertical="center" wrapText="1"/>
    </xf>
    <xf numFmtId="185" fontId="0" fillId="0" borderId="0" xfId="0" applyNumberFormat="1">
      <alignment vertical="center"/>
    </xf>
    <xf numFmtId="183" fontId="8" fillId="6" borderId="1" xfId="0" applyNumberFormat="1" applyFont="1" applyFill="1" applyBorder="1" applyAlignment="1">
      <alignment horizontal="center" vertical="center" wrapText="1"/>
    </xf>
    <xf numFmtId="185" fontId="8" fillId="6" borderId="1" xfId="0" applyNumberFormat="1" applyFont="1" applyFill="1" applyBorder="1" applyAlignment="1">
      <alignment horizontal="center" vertical="center" wrapText="1"/>
    </xf>
    <xf numFmtId="183" fontId="8" fillId="6" borderId="11" xfId="0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78" fontId="13" fillId="0" borderId="0" xfId="0" applyNumberFormat="1" applyFont="1">
      <alignment vertical="center"/>
    </xf>
    <xf numFmtId="183" fontId="13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176" fontId="13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184" fontId="13" fillId="0" borderId="26" xfId="0" applyNumberFormat="1" applyFont="1" applyBorder="1" applyAlignment="1">
      <alignment horizontal="center" vertical="center"/>
    </xf>
    <xf numFmtId="184" fontId="13" fillId="0" borderId="25" xfId="0" applyNumberFormat="1" applyFont="1" applyBorder="1">
      <alignment vertical="center"/>
    </xf>
    <xf numFmtId="184" fontId="13" fillId="10" borderId="23" xfId="0" applyNumberFormat="1" applyFont="1" applyFill="1" applyBorder="1" applyAlignment="1">
      <alignment horizontal="center" vertical="center"/>
    </xf>
    <xf numFmtId="184" fontId="13" fillId="10" borderId="11" xfId="0" applyNumberFormat="1" applyFont="1" applyFill="1" applyBorder="1" applyAlignment="1">
      <alignment horizontal="center" vertical="center"/>
    </xf>
    <xf numFmtId="184" fontId="13" fillId="0" borderId="23" xfId="0" applyNumberFormat="1" applyFont="1" applyBorder="1" applyAlignment="1">
      <alignment horizontal="center" vertical="center"/>
    </xf>
    <xf numFmtId="184" fontId="13" fillId="0" borderId="11" xfId="0" applyNumberFormat="1" applyFont="1" applyBorder="1" applyAlignment="1">
      <alignment horizontal="center" vertical="center"/>
    </xf>
    <xf numFmtId="184" fontId="13" fillId="0" borderId="23" xfId="0" applyNumberFormat="1" applyFont="1" applyBorder="1">
      <alignment vertical="center"/>
    </xf>
    <xf numFmtId="184" fontId="13" fillId="0" borderId="6" xfId="0" applyNumberFormat="1" applyFont="1" applyBorder="1" applyAlignment="1">
      <alignment horizontal="center" vertical="center"/>
    </xf>
    <xf numFmtId="184" fontId="13" fillId="0" borderId="37" xfId="0" applyNumberFormat="1" applyFont="1" applyBorder="1" applyAlignment="1">
      <alignment horizontal="center" vertical="center"/>
    </xf>
    <xf numFmtId="184" fontId="13" fillId="0" borderId="6" xfId="0" applyNumberFormat="1" applyFont="1" applyBorder="1">
      <alignment vertical="center"/>
    </xf>
    <xf numFmtId="184" fontId="13" fillId="12" borderId="23" xfId="0" applyNumberFormat="1" applyFont="1" applyFill="1" applyBorder="1" applyAlignment="1">
      <alignment horizontal="center" vertical="center"/>
    </xf>
    <xf numFmtId="184" fontId="13" fillId="12" borderId="11" xfId="0" applyNumberFormat="1" applyFont="1" applyFill="1" applyBorder="1" applyAlignment="1">
      <alignment horizontal="center" vertical="center"/>
    </xf>
    <xf numFmtId="184" fontId="13" fillId="0" borderId="24" xfId="0" applyNumberFormat="1" applyFont="1" applyBorder="1" applyAlignment="1">
      <alignment horizontal="center" vertical="center"/>
    </xf>
    <xf numFmtId="184" fontId="13" fillId="0" borderId="32" xfId="0" applyNumberFormat="1" applyFont="1" applyBorder="1" applyAlignment="1">
      <alignment horizontal="center" vertical="center"/>
    </xf>
    <xf numFmtId="184" fontId="13" fillId="0" borderId="24" xfId="0" applyNumberFormat="1" applyFont="1" applyBorder="1">
      <alignment vertical="center"/>
    </xf>
    <xf numFmtId="185" fontId="13" fillId="0" borderId="20" xfId="0" applyNumberFormat="1" applyFont="1" applyBorder="1" applyAlignment="1">
      <alignment horizontal="center" vertical="center"/>
    </xf>
    <xf numFmtId="184" fontId="13" fillId="0" borderId="1" xfId="0" applyNumberFormat="1" applyFont="1" applyBorder="1" applyAlignment="1">
      <alignment horizontal="center" vertical="center"/>
    </xf>
    <xf numFmtId="185" fontId="13" fillId="0" borderId="21" xfId="0" applyNumberFormat="1" applyFont="1" applyBorder="1" applyAlignment="1">
      <alignment horizontal="center" vertical="center"/>
    </xf>
    <xf numFmtId="184" fontId="13" fillId="0" borderId="5" xfId="0" applyNumberFormat="1" applyFont="1" applyBorder="1">
      <alignment vertical="center"/>
    </xf>
    <xf numFmtId="185" fontId="13" fillId="0" borderId="22" xfId="0" applyNumberFormat="1" applyFont="1" applyBorder="1" applyAlignment="1">
      <alignment horizontal="center" vertical="center"/>
    </xf>
    <xf numFmtId="184" fontId="13" fillId="12" borderId="26" xfId="0" applyNumberFormat="1" applyFont="1" applyFill="1" applyBorder="1">
      <alignment vertical="center"/>
    </xf>
    <xf numFmtId="184" fontId="13" fillId="12" borderId="25" xfId="0" applyNumberFormat="1" applyFont="1" applyFill="1" applyBorder="1">
      <alignment vertical="center"/>
    </xf>
    <xf numFmtId="184" fontId="13" fillId="12" borderId="1" xfId="0" applyNumberFormat="1" applyFont="1" applyFill="1" applyBorder="1">
      <alignment vertical="center"/>
    </xf>
    <xf numFmtId="184" fontId="13" fillId="12" borderId="23" xfId="0" applyNumberFormat="1" applyFont="1" applyFill="1" applyBorder="1">
      <alignment vertical="center"/>
    </xf>
    <xf numFmtId="185" fontId="13" fillId="0" borderId="38" xfId="0" applyNumberFormat="1" applyFont="1" applyBorder="1" applyAlignment="1">
      <alignment horizontal="center" vertical="center"/>
    </xf>
    <xf numFmtId="185" fontId="13" fillId="0" borderId="26" xfId="0" applyNumberFormat="1" applyFont="1" applyBorder="1" applyAlignment="1">
      <alignment horizontal="center" vertical="center"/>
    </xf>
    <xf numFmtId="185" fontId="13" fillId="0" borderId="11" xfId="0" applyNumberFormat="1" applyFont="1" applyBorder="1" applyAlignment="1">
      <alignment horizontal="center" vertical="center"/>
    </xf>
    <xf numFmtId="185" fontId="13" fillId="0" borderId="1" xfId="0" applyNumberFormat="1" applyFont="1" applyBorder="1" applyAlignment="1">
      <alignment horizontal="center" vertical="center"/>
    </xf>
    <xf numFmtId="185" fontId="13" fillId="0" borderId="32" xfId="0" applyNumberFormat="1" applyFont="1" applyBorder="1" applyAlignment="1">
      <alignment horizontal="center" vertical="center"/>
    </xf>
    <xf numFmtId="185" fontId="13" fillId="0" borderId="27" xfId="0" applyNumberFormat="1" applyFont="1" applyBorder="1" applyAlignment="1">
      <alignment horizontal="center" vertical="center"/>
    </xf>
    <xf numFmtId="184" fontId="13" fillId="0" borderId="27" xfId="0" applyNumberFormat="1" applyFont="1" applyBorder="1" applyAlignment="1">
      <alignment horizontal="center" vertical="center"/>
    </xf>
    <xf numFmtId="188" fontId="13" fillId="0" borderId="39" xfId="0" applyNumberFormat="1" applyFont="1" applyBorder="1">
      <alignment vertical="center"/>
    </xf>
    <xf numFmtId="188" fontId="13" fillId="0" borderId="26" xfId="0" applyNumberFormat="1" applyFont="1" applyBorder="1">
      <alignment vertical="center"/>
    </xf>
    <xf numFmtId="188" fontId="13" fillId="0" borderId="20" xfId="0" applyNumberFormat="1" applyFont="1" applyBorder="1">
      <alignment vertical="center"/>
    </xf>
    <xf numFmtId="188" fontId="13" fillId="0" borderId="40" xfId="0" applyNumberFormat="1" applyFont="1" applyBorder="1">
      <alignment vertical="center"/>
    </xf>
    <xf numFmtId="188" fontId="13" fillId="0" borderId="1" xfId="0" applyNumberFormat="1" applyFont="1" applyBorder="1">
      <alignment vertical="center"/>
    </xf>
    <xf numFmtId="188" fontId="13" fillId="0" borderId="21" xfId="0" applyNumberFormat="1" applyFont="1" applyBorder="1">
      <alignment vertical="center"/>
    </xf>
    <xf numFmtId="188" fontId="13" fillId="0" borderId="41" xfId="0" applyNumberFormat="1" applyFont="1" applyBorder="1">
      <alignment vertical="center"/>
    </xf>
    <xf numFmtId="188" fontId="13" fillId="0" borderId="27" xfId="0" applyNumberFormat="1" applyFont="1" applyBorder="1">
      <alignment vertical="center"/>
    </xf>
    <xf numFmtId="188" fontId="13" fillId="0" borderId="22" xfId="0" applyNumberFormat="1" applyFont="1" applyBorder="1">
      <alignment vertical="center"/>
    </xf>
    <xf numFmtId="184" fontId="13" fillId="0" borderId="0" xfId="0" applyNumberFormat="1" applyFont="1">
      <alignment vertical="center"/>
    </xf>
    <xf numFmtId="184" fontId="13" fillId="0" borderId="0" xfId="0" applyNumberFormat="1" applyFont="1" applyAlignment="1">
      <alignment horizontal="center" vertical="center"/>
    </xf>
    <xf numFmtId="0" fontId="13" fillId="13" borderId="42" xfId="0" applyFont="1" applyFill="1" applyBorder="1">
      <alignment vertical="center"/>
    </xf>
    <xf numFmtId="184" fontId="13" fillId="13" borderId="43" xfId="0" applyNumberFormat="1" applyFont="1" applyFill="1" applyBorder="1" applyAlignment="1">
      <alignment horizontal="center" vertical="center" wrapText="1"/>
    </xf>
    <xf numFmtId="184" fontId="13" fillId="0" borderId="0" xfId="0" applyNumberFormat="1" applyFont="1" applyAlignment="1">
      <alignment vertical="center" wrapText="1"/>
    </xf>
    <xf numFmtId="190" fontId="13" fillId="0" borderId="0" xfId="0" applyNumberFormat="1" applyFont="1">
      <alignment vertical="center"/>
    </xf>
    <xf numFmtId="0" fontId="0" fillId="0" borderId="13" xfId="0" applyBorder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184" fontId="13" fillId="0" borderId="44" xfId="0" applyNumberFormat="1" applyFont="1" applyBorder="1" applyAlignment="1">
      <alignment horizontal="center" vertical="center"/>
    </xf>
    <xf numFmtId="184" fontId="13" fillId="0" borderId="45" xfId="0" applyNumberFormat="1" applyFont="1" applyBorder="1" applyAlignment="1">
      <alignment horizontal="center" vertical="center"/>
    </xf>
    <xf numFmtId="184" fontId="13" fillId="0" borderId="46" xfId="0" applyNumberFormat="1" applyFont="1" applyBorder="1" applyAlignment="1">
      <alignment horizontal="center" vertical="center"/>
    </xf>
    <xf numFmtId="184" fontId="13" fillId="0" borderId="47" xfId="1" applyNumberFormat="1" applyFont="1" applyBorder="1" applyAlignment="1">
      <alignment horizontal="center" vertical="center" wrapText="1"/>
    </xf>
    <xf numFmtId="184" fontId="13" fillId="0" borderId="48" xfId="1" applyNumberFormat="1" applyFont="1" applyBorder="1" applyAlignment="1">
      <alignment horizontal="center" vertical="center" wrapText="1"/>
    </xf>
    <xf numFmtId="184" fontId="13" fillId="0" borderId="49" xfId="1" applyNumberFormat="1" applyFont="1" applyBorder="1" applyAlignment="1">
      <alignment horizontal="center" vertical="center" wrapText="1"/>
    </xf>
    <xf numFmtId="0" fontId="13" fillId="0" borderId="50" xfId="1" applyFont="1" applyBorder="1" applyAlignment="1">
      <alignment horizontal="center" vertical="center" wrapText="1"/>
    </xf>
    <xf numFmtId="176" fontId="13" fillId="0" borderId="23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184" fontId="13" fillId="0" borderId="51" xfId="1" applyNumberFormat="1" applyFont="1" applyBorder="1" applyAlignment="1">
      <alignment horizontal="center" vertical="center" wrapText="1"/>
    </xf>
    <xf numFmtId="184" fontId="13" fillId="0" borderId="38" xfId="0" applyNumberFormat="1" applyFont="1" applyBorder="1" applyAlignment="1">
      <alignment horizontal="center" vertical="center"/>
    </xf>
    <xf numFmtId="185" fontId="13" fillId="0" borderId="52" xfId="0" applyNumberFormat="1" applyFont="1" applyBorder="1" applyAlignment="1">
      <alignment horizontal="center" vertical="center"/>
    </xf>
    <xf numFmtId="185" fontId="13" fillId="0" borderId="12" xfId="0" applyNumberFormat="1" applyFont="1" applyBorder="1" applyAlignment="1">
      <alignment horizontal="center" vertical="center"/>
    </xf>
    <xf numFmtId="185" fontId="13" fillId="0" borderId="53" xfId="0" applyNumberFormat="1" applyFont="1" applyBorder="1" applyAlignment="1">
      <alignment horizontal="center" vertical="center"/>
    </xf>
    <xf numFmtId="184" fontId="13" fillId="10" borderId="54" xfId="1" applyNumberFormat="1" applyFont="1" applyFill="1" applyBorder="1" applyAlignment="1">
      <alignment vertical="center" wrapText="1"/>
    </xf>
    <xf numFmtId="184" fontId="13" fillId="0" borderId="55" xfId="1" applyNumberFormat="1" applyFont="1" applyBorder="1" applyAlignment="1">
      <alignment horizontal="center" vertical="center" wrapText="1"/>
    </xf>
    <xf numFmtId="185" fontId="13" fillId="0" borderId="40" xfId="0" applyNumberFormat="1" applyFont="1" applyBorder="1">
      <alignment vertical="center"/>
    </xf>
    <xf numFmtId="185" fontId="13" fillId="0" borderId="1" xfId="0" applyNumberFormat="1" applyFont="1" applyBorder="1">
      <alignment vertical="center"/>
    </xf>
    <xf numFmtId="185" fontId="13" fillId="0" borderId="21" xfId="0" applyNumberFormat="1" applyFont="1" applyBorder="1">
      <alignment vertical="center"/>
    </xf>
    <xf numFmtId="185" fontId="13" fillId="0" borderId="39" xfId="0" applyNumberFormat="1" applyFont="1" applyBorder="1" applyAlignment="1">
      <alignment horizontal="center" vertical="center"/>
    </xf>
    <xf numFmtId="185" fontId="13" fillId="0" borderId="40" xfId="0" applyNumberFormat="1" applyFont="1" applyBorder="1" applyAlignment="1">
      <alignment horizontal="center" vertical="center"/>
    </xf>
    <xf numFmtId="183" fontId="13" fillId="0" borderId="52" xfId="0" applyNumberFormat="1" applyFont="1" applyBorder="1" applyAlignment="1">
      <alignment horizontal="center" vertical="center"/>
    </xf>
    <xf numFmtId="183" fontId="13" fillId="0" borderId="12" xfId="0" applyNumberFormat="1" applyFont="1" applyBorder="1" applyAlignment="1">
      <alignment horizontal="center" vertical="center"/>
    </xf>
    <xf numFmtId="183" fontId="13" fillId="0" borderId="53" xfId="0" applyNumberFormat="1" applyFont="1" applyBorder="1" applyAlignment="1">
      <alignment horizontal="center" vertical="center"/>
    </xf>
    <xf numFmtId="183" fontId="13" fillId="0" borderId="40" xfId="0" applyNumberFormat="1" applyFont="1" applyBorder="1" applyAlignment="1">
      <alignment horizontal="center" vertical="center"/>
    </xf>
    <xf numFmtId="183" fontId="13" fillId="0" borderId="1" xfId="0" applyNumberFormat="1" applyFont="1" applyBorder="1" applyAlignment="1">
      <alignment horizontal="center" vertical="center"/>
    </xf>
    <xf numFmtId="183" fontId="13" fillId="0" borderId="21" xfId="0" applyNumberFormat="1" applyFont="1" applyBorder="1" applyAlignment="1">
      <alignment horizontal="center" vertical="center"/>
    </xf>
    <xf numFmtId="183" fontId="13" fillId="0" borderId="56" xfId="0" applyNumberFormat="1" applyFont="1" applyBorder="1" applyAlignment="1">
      <alignment horizontal="center" vertical="center"/>
    </xf>
    <xf numFmtId="183" fontId="13" fillId="0" borderId="13" xfId="0" applyNumberFormat="1" applyFont="1" applyBorder="1" applyAlignment="1">
      <alignment horizontal="center" vertical="center"/>
    </xf>
    <xf numFmtId="183" fontId="13" fillId="0" borderId="54" xfId="0" applyNumberFormat="1" applyFont="1" applyBorder="1" applyAlignment="1">
      <alignment horizontal="center" vertical="center"/>
    </xf>
    <xf numFmtId="176" fontId="13" fillId="0" borderId="39" xfId="0" applyNumberFormat="1" applyFont="1" applyBorder="1" applyAlignment="1">
      <alignment horizontal="center" vertical="center"/>
    </xf>
    <xf numFmtId="176" fontId="13" fillId="0" borderId="26" xfId="0" applyNumberFormat="1" applyFont="1" applyBorder="1" applyAlignment="1">
      <alignment horizontal="center" vertical="center"/>
    </xf>
    <xf numFmtId="176" fontId="13" fillId="0" borderId="20" xfId="0" applyNumberFormat="1" applyFont="1" applyBorder="1" applyAlignment="1">
      <alignment horizontal="center" vertical="center"/>
    </xf>
    <xf numFmtId="176" fontId="13" fillId="0" borderId="4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0" borderId="56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87" fontId="13" fillId="0" borderId="40" xfId="1" applyNumberFormat="1" applyFont="1" applyBorder="1" applyAlignment="1">
      <alignment horizontal="center" vertical="center" wrapText="1"/>
    </xf>
    <xf numFmtId="187" fontId="13" fillId="0" borderId="1" xfId="0" applyNumberFormat="1" applyFont="1" applyBorder="1" applyAlignment="1">
      <alignment horizontal="center" vertical="center"/>
    </xf>
    <xf numFmtId="187" fontId="13" fillId="0" borderId="41" xfId="1" applyNumberFormat="1" applyFont="1" applyBorder="1" applyAlignment="1">
      <alignment horizontal="center" vertical="center" wrapText="1"/>
    </xf>
    <xf numFmtId="187" fontId="13" fillId="0" borderId="27" xfId="0" applyNumberFormat="1" applyFont="1" applyBorder="1" applyAlignment="1">
      <alignment horizontal="center" vertical="center"/>
    </xf>
    <xf numFmtId="187" fontId="13" fillId="0" borderId="37" xfId="1" applyNumberFormat="1" applyFont="1" applyBorder="1" applyAlignment="1">
      <alignment horizontal="center" vertical="center" wrapText="1"/>
    </xf>
    <xf numFmtId="187" fontId="13" fillId="0" borderId="31" xfId="0" applyNumberFormat="1" applyFont="1" applyBorder="1" applyAlignment="1">
      <alignment horizontal="center" vertical="center"/>
    </xf>
    <xf numFmtId="187" fontId="13" fillId="0" borderId="57" xfId="0" applyNumberFormat="1" applyFont="1" applyBorder="1" applyAlignment="1">
      <alignment horizontal="center" vertical="center"/>
    </xf>
    <xf numFmtId="176" fontId="13" fillId="0" borderId="38" xfId="0" applyNumberFormat="1" applyFont="1" applyBorder="1" applyAlignment="1">
      <alignment horizontal="center" vertical="center"/>
    </xf>
    <xf numFmtId="176" fontId="13" fillId="0" borderId="21" xfId="0" applyNumberFormat="1" applyFont="1" applyBorder="1" applyAlignment="1">
      <alignment horizontal="center" vertical="center"/>
    </xf>
    <xf numFmtId="176" fontId="13" fillId="0" borderId="58" xfId="0" applyNumberFormat="1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176" fontId="13" fillId="0" borderId="53" xfId="0" applyNumberFormat="1" applyFont="1" applyBorder="1" applyAlignment="1">
      <alignment horizontal="center" vertical="center"/>
    </xf>
    <xf numFmtId="184" fontId="13" fillId="0" borderId="21" xfId="0" applyNumberFormat="1" applyFont="1" applyBorder="1" applyAlignment="1">
      <alignment horizontal="center" vertical="center"/>
    </xf>
    <xf numFmtId="184" fontId="13" fillId="0" borderId="22" xfId="0" applyNumberFormat="1" applyFont="1" applyBorder="1" applyAlignment="1">
      <alignment horizontal="center" vertical="center"/>
    </xf>
    <xf numFmtId="183" fontId="13" fillId="0" borderId="20" xfId="0" applyNumberFormat="1" applyFont="1" applyBorder="1" applyAlignment="1">
      <alignment horizontal="center" vertical="center"/>
    </xf>
    <xf numFmtId="184" fontId="13" fillId="0" borderId="8" xfId="0" applyNumberFormat="1" applyFont="1" applyBorder="1">
      <alignment vertical="center"/>
    </xf>
    <xf numFmtId="184" fontId="13" fillId="0" borderId="35" xfId="1" applyNumberFormat="1" applyFont="1" applyBorder="1" applyAlignment="1">
      <alignment vertical="center" wrapText="1"/>
    </xf>
    <xf numFmtId="184" fontId="13" fillId="0" borderId="34" xfId="1" applyNumberFormat="1" applyFont="1" applyBorder="1" applyAlignment="1">
      <alignment vertical="center" wrapText="1"/>
    </xf>
    <xf numFmtId="184" fontId="13" fillId="0" borderId="59" xfId="0" applyNumberFormat="1" applyFont="1" applyBorder="1">
      <alignment vertical="center"/>
    </xf>
    <xf numFmtId="0" fontId="36" fillId="0" borderId="0" xfId="2">
      <alignment vertical="center"/>
    </xf>
    <xf numFmtId="176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8" fontId="5" fillId="0" borderId="0" xfId="0" applyNumberFormat="1" applyFont="1" applyAlignment="1">
      <alignment horizontal="center" vertical="center" shrinkToFit="1"/>
    </xf>
    <xf numFmtId="182" fontId="0" fillId="0" borderId="0" xfId="0" applyNumberFormat="1" applyAlignment="1">
      <alignment vertical="center" shrinkToFit="1"/>
    </xf>
    <xf numFmtId="178" fontId="6" fillId="0" borderId="0" xfId="0" applyNumberFormat="1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0" fillId="0" borderId="14" xfId="0" applyBorder="1">
      <alignment vertical="center"/>
    </xf>
    <xf numFmtId="182" fontId="0" fillId="0" borderId="15" xfId="0" applyNumberFormat="1" applyBorder="1" applyAlignment="1">
      <alignment vertical="center" shrinkToFit="1"/>
    </xf>
    <xf numFmtId="178" fontId="6" fillId="0" borderId="15" xfId="0" applyNumberFormat="1" applyFont="1" applyBorder="1" applyAlignment="1">
      <alignment vertical="center" shrinkToFit="1"/>
    </xf>
    <xf numFmtId="0" fontId="5" fillId="0" borderId="15" xfId="0" applyFont="1" applyBorder="1" applyAlignment="1">
      <alignment horizontal="center" vertical="center" shrinkToFit="1"/>
    </xf>
    <xf numFmtId="178" fontId="5" fillId="0" borderId="15" xfId="0" applyNumberFormat="1" applyFont="1" applyBorder="1" applyAlignment="1">
      <alignment vertical="center" shrinkToFit="1"/>
    </xf>
    <xf numFmtId="0" fontId="5" fillId="0" borderId="15" xfId="0" applyFont="1" applyBorder="1" applyAlignment="1">
      <alignment vertical="center" shrinkToFit="1"/>
    </xf>
    <xf numFmtId="0" fontId="0" fillId="0" borderId="60" xfId="0" applyBorder="1">
      <alignment vertical="center"/>
    </xf>
    <xf numFmtId="0" fontId="0" fillId="0" borderId="34" xfId="0" applyBorder="1">
      <alignment vertical="center"/>
    </xf>
    <xf numFmtId="0" fontId="0" fillId="0" borderId="61" xfId="0" applyBorder="1">
      <alignment vertical="center"/>
    </xf>
    <xf numFmtId="182" fontId="0" fillId="0" borderId="2" xfId="0" applyNumberFormat="1" applyBorder="1" applyAlignment="1">
      <alignment vertical="center" shrinkToFit="1"/>
    </xf>
    <xf numFmtId="178" fontId="6" fillId="0" borderId="2" xfId="0" applyNumberFormat="1" applyFont="1" applyBorder="1" applyAlignment="1">
      <alignment vertical="center" shrinkToFit="1"/>
    </xf>
    <xf numFmtId="0" fontId="5" fillId="0" borderId="2" xfId="0" applyFont="1" applyBorder="1" applyAlignment="1">
      <alignment vertical="center" shrinkToFit="1"/>
    </xf>
    <xf numFmtId="0" fontId="0" fillId="0" borderId="2" xfId="0" applyBorder="1">
      <alignment vertical="center"/>
    </xf>
    <xf numFmtId="0" fontId="0" fillId="0" borderId="35" xfId="0" applyBorder="1">
      <alignment vertical="center"/>
    </xf>
    <xf numFmtId="182" fontId="0" fillId="0" borderId="14" xfId="0" applyNumberFormat="1" applyBorder="1" applyAlignment="1">
      <alignment vertical="center" shrinkToFit="1"/>
    </xf>
    <xf numFmtId="178" fontId="6" fillId="0" borderId="14" xfId="0" applyNumberFormat="1" applyFont="1" applyBorder="1" applyAlignment="1">
      <alignment vertical="center" shrinkToFit="1"/>
    </xf>
    <xf numFmtId="0" fontId="5" fillId="0" borderId="14" xfId="0" applyFont="1" applyBorder="1" applyAlignment="1">
      <alignment vertical="center" shrinkToFit="1"/>
    </xf>
    <xf numFmtId="184" fontId="13" fillId="0" borderId="61" xfId="1" applyNumberFormat="1" applyFont="1" applyBorder="1" applyAlignment="1">
      <alignment horizontal="center" vertical="center" wrapText="1"/>
    </xf>
    <xf numFmtId="184" fontId="13" fillId="14" borderId="1" xfId="1" applyNumberFormat="1" applyFont="1" applyFill="1" applyBorder="1" applyAlignment="1">
      <alignment horizontal="center" vertical="center" wrapText="1"/>
    </xf>
    <xf numFmtId="184" fontId="13" fillId="14" borderId="40" xfId="1" applyNumberFormat="1" applyFont="1" applyFill="1" applyBorder="1" applyAlignment="1">
      <alignment horizontal="center" vertical="center" wrapText="1"/>
    </xf>
    <xf numFmtId="184" fontId="13" fillId="14" borderId="41" xfId="1" applyNumberFormat="1" applyFont="1" applyFill="1" applyBorder="1" applyAlignment="1">
      <alignment horizontal="center" vertical="center" wrapText="1"/>
    </xf>
    <xf numFmtId="184" fontId="13" fillId="14" borderId="27" xfId="1" applyNumberFormat="1" applyFont="1" applyFill="1" applyBorder="1" applyAlignment="1">
      <alignment horizontal="center" vertical="center" wrapText="1"/>
    </xf>
    <xf numFmtId="185" fontId="13" fillId="2" borderId="1" xfId="1" applyNumberFormat="1" applyFont="1" applyFill="1" applyBorder="1" applyAlignment="1">
      <alignment horizontal="center" vertical="center" wrapText="1"/>
    </xf>
    <xf numFmtId="185" fontId="13" fillId="2" borderId="27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84" fontId="13" fillId="0" borderId="0" xfId="1" applyNumberFormat="1" applyFont="1" applyAlignment="1">
      <alignment horizontal="center" vertical="center" wrapText="1"/>
    </xf>
    <xf numFmtId="184" fontId="13" fillId="12" borderId="1" xfId="0" applyNumberFormat="1" applyFont="1" applyFill="1" applyBorder="1" applyAlignment="1">
      <alignment horizontal="center" vertical="center"/>
    </xf>
    <xf numFmtId="184" fontId="13" fillId="12" borderId="2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84" fontId="13" fillId="0" borderId="59" xfId="1" applyNumberFormat="1" applyFont="1" applyBorder="1" applyAlignment="1">
      <alignment horizontal="center" vertical="center" wrapText="1"/>
    </xf>
    <xf numFmtId="185" fontId="13" fillId="0" borderId="57" xfId="0" applyNumberFormat="1" applyFont="1" applyBorder="1" applyAlignment="1">
      <alignment horizontal="center" vertical="center"/>
    </xf>
    <xf numFmtId="184" fontId="13" fillId="10" borderId="34" xfId="1" applyNumberFormat="1" applyFont="1" applyFill="1" applyBorder="1" applyAlignment="1">
      <alignment vertical="center" wrapText="1"/>
    </xf>
    <xf numFmtId="184" fontId="13" fillId="14" borderId="1" xfId="1" applyNumberFormat="1" applyFont="1" applyFill="1" applyBorder="1" applyAlignment="1">
      <alignment vertical="center" wrapText="1"/>
    </xf>
    <xf numFmtId="184" fontId="13" fillId="0" borderId="47" xfId="1" applyNumberFormat="1" applyFont="1" applyBorder="1" applyAlignment="1">
      <alignment vertical="center" wrapText="1"/>
    </xf>
    <xf numFmtId="184" fontId="13" fillId="0" borderId="48" xfId="1" applyNumberFormat="1" applyFont="1" applyBorder="1" applyAlignment="1">
      <alignment vertical="center" wrapText="1"/>
    </xf>
    <xf numFmtId="184" fontId="13" fillId="0" borderId="49" xfId="1" applyNumberFormat="1" applyFont="1" applyBorder="1" applyAlignment="1">
      <alignment vertical="center" wrapText="1"/>
    </xf>
    <xf numFmtId="184" fontId="13" fillId="11" borderId="33" xfId="1" applyNumberFormat="1" applyFont="1" applyFill="1" applyBorder="1" applyAlignment="1">
      <alignment horizontal="center" vertical="center" wrapText="1"/>
    </xf>
    <xf numFmtId="184" fontId="13" fillId="11" borderId="61" xfId="1" applyNumberFormat="1" applyFont="1" applyFill="1" applyBorder="1" applyAlignment="1">
      <alignment vertical="center" wrapText="1"/>
    </xf>
    <xf numFmtId="184" fontId="13" fillId="10" borderId="60" xfId="1" applyNumberFormat="1" applyFont="1" applyFill="1" applyBorder="1" applyAlignment="1">
      <alignment vertical="center" wrapText="1"/>
    </xf>
    <xf numFmtId="184" fontId="13" fillId="12" borderId="59" xfId="0" applyNumberFormat="1" applyFont="1" applyFill="1" applyBorder="1">
      <alignment vertical="center"/>
    </xf>
    <xf numFmtId="184" fontId="13" fillId="12" borderId="0" xfId="0" applyNumberFormat="1" applyFont="1" applyFill="1">
      <alignment vertical="center"/>
    </xf>
    <xf numFmtId="184" fontId="13" fillId="0" borderId="43" xfId="0" applyNumberFormat="1" applyFont="1" applyBorder="1">
      <alignment vertical="center"/>
    </xf>
    <xf numFmtId="184" fontId="13" fillId="0" borderId="7" xfId="0" applyNumberFormat="1" applyFont="1" applyBorder="1">
      <alignment vertical="center"/>
    </xf>
    <xf numFmtId="184" fontId="13" fillId="0" borderId="10" xfId="0" applyNumberFormat="1" applyFont="1" applyBorder="1">
      <alignment vertical="center"/>
    </xf>
    <xf numFmtId="184" fontId="13" fillId="14" borderId="27" xfId="1" applyNumberFormat="1" applyFont="1" applyFill="1" applyBorder="1" applyAlignment="1">
      <alignment vertical="center" wrapText="1"/>
    </xf>
    <xf numFmtId="178" fontId="13" fillId="10" borderId="1" xfId="1" applyNumberFormat="1" applyFont="1" applyFill="1" applyBorder="1" applyAlignment="1">
      <alignment horizontal="center" vertical="center" wrapText="1"/>
    </xf>
    <xf numFmtId="178" fontId="13" fillId="10" borderId="1" xfId="0" applyNumberFormat="1" applyFont="1" applyFill="1" applyBorder="1">
      <alignment vertical="center"/>
    </xf>
    <xf numFmtId="178" fontId="13" fillId="10" borderId="27" xfId="1" applyNumberFormat="1" applyFont="1" applyFill="1" applyBorder="1" applyAlignment="1">
      <alignment horizontal="center" vertical="center" wrapText="1"/>
    </xf>
    <xf numFmtId="178" fontId="13" fillId="10" borderId="21" xfId="1" applyNumberFormat="1" applyFont="1" applyFill="1" applyBorder="1" applyAlignment="1">
      <alignment vertical="center" wrapText="1"/>
    </xf>
    <xf numFmtId="178" fontId="13" fillId="10" borderId="22" xfId="1" applyNumberFormat="1" applyFont="1" applyFill="1" applyBorder="1" applyAlignment="1">
      <alignment vertical="center" wrapText="1"/>
    </xf>
    <xf numFmtId="185" fontId="0" fillId="15" borderId="1" xfId="0" applyNumberFormat="1" applyFill="1" applyBorder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178" fontId="11" fillId="0" borderId="7" xfId="0" applyNumberFormat="1" applyFont="1" applyBorder="1" applyAlignment="1">
      <alignment vertical="center" shrinkToFit="1"/>
    </xf>
    <xf numFmtId="178" fontId="11" fillId="0" borderId="7" xfId="0" applyNumberFormat="1" applyFont="1" applyBorder="1" applyAlignment="1">
      <alignment horizontal="center" vertical="center" shrinkToFit="1"/>
    </xf>
    <xf numFmtId="178" fontId="17" fillId="0" borderId="7" xfId="0" applyNumberFormat="1" applyFont="1" applyBorder="1" applyAlignment="1">
      <alignment horizontal="center" vertical="center" shrinkToFit="1"/>
    </xf>
    <xf numFmtId="178" fontId="17" fillId="0" borderId="7" xfId="0" applyNumberFormat="1" applyFont="1" applyBorder="1" applyAlignment="1">
      <alignment vertical="center" shrinkToFit="1"/>
    </xf>
    <xf numFmtId="180" fontId="0" fillId="0" borderId="0" xfId="0" applyNumberFormat="1" applyAlignment="1">
      <alignment horizontal="center" vertical="center"/>
    </xf>
    <xf numFmtId="180" fontId="36" fillId="0" borderId="1" xfId="1" applyNumberFormat="1" applyBorder="1" applyAlignment="1">
      <alignment horizontal="center" vertical="center" wrapText="1"/>
    </xf>
    <xf numFmtId="180" fontId="36" fillId="12" borderId="1" xfId="1" applyNumberFormat="1" applyFill="1" applyBorder="1" applyAlignment="1">
      <alignment horizontal="center" vertical="center" wrapText="1"/>
    </xf>
    <xf numFmtId="180" fontId="36" fillId="7" borderId="1" xfId="1" applyNumberFormat="1" applyFill="1" applyBorder="1" applyAlignment="1">
      <alignment horizontal="center" vertical="center" wrapText="1"/>
    </xf>
    <xf numFmtId="180" fontId="11" fillId="0" borderId="0" xfId="1" applyNumberFormat="1" applyFont="1" applyAlignment="1">
      <alignment horizontal="center" vertical="center" wrapText="1"/>
    </xf>
    <xf numFmtId="180" fontId="11" fillId="0" borderId="0" xfId="1" applyNumberFormat="1" applyFont="1" applyAlignment="1">
      <alignment horizontal="center" vertical="center"/>
    </xf>
    <xf numFmtId="184" fontId="13" fillId="16" borderId="12" xfId="1" applyNumberFormat="1" applyFont="1" applyFill="1" applyBorder="1" applyAlignment="1">
      <alignment horizontal="center" vertical="center" wrapText="1"/>
    </xf>
    <xf numFmtId="184" fontId="13" fillId="16" borderId="26" xfId="1" applyNumberFormat="1" applyFont="1" applyFill="1" applyBorder="1" applyAlignment="1">
      <alignment horizontal="center" vertical="center" wrapText="1"/>
    </xf>
    <xf numFmtId="184" fontId="13" fillId="16" borderId="1" xfId="1" applyNumberFormat="1" applyFont="1" applyFill="1" applyBorder="1" applyAlignment="1">
      <alignment horizontal="center" vertical="center" wrapText="1"/>
    </xf>
    <xf numFmtId="184" fontId="13" fillId="0" borderId="12" xfId="0" applyNumberFormat="1" applyFont="1" applyBorder="1" applyAlignment="1">
      <alignment horizontal="center" vertical="center"/>
    </xf>
    <xf numFmtId="184" fontId="13" fillId="13" borderId="47" xfId="0" applyNumberFormat="1" applyFont="1" applyFill="1" applyBorder="1" applyAlignment="1">
      <alignment horizontal="center" vertical="center" wrapText="1"/>
    </xf>
    <xf numFmtId="184" fontId="13" fillId="0" borderId="0" xfId="0" applyNumberFormat="1" applyFont="1" applyAlignment="1">
      <alignment horizontal="center" vertical="center" wrapText="1"/>
    </xf>
    <xf numFmtId="186" fontId="13" fillId="0" borderId="34" xfId="0" applyNumberFormat="1" applyFont="1" applyBorder="1" applyAlignment="1">
      <alignment horizontal="center" vertical="center"/>
    </xf>
    <xf numFmtId="0" fontId="13" fillId="13" borderId="43" xfId="0" applyFont="1" applyFill="1" applyBorder="1" applyAlignment="1">
      <alignment horizontal="center" vertical="center"/>
    </xf>
    <xf numFmtId="186" fontId="13" fillId="0" borderId="0" xfId="0" applyNumberFormat="1" applyFont="1" applyAlignment="1">
      <alignment horizontal="center" vertical="center"/>
    </xf>
    <xf numFmtId="0" fontId="13" fillId="0" borderId="37" xfId="1" applyFont="1" applyBorder="1" applyAlignment="1">
      <alignment horizontal="center" vertical="center" wrapText="1"/>
    </xf>
    <xf numFmtId="184" fontId="13" fillId="0" borderId="62" xfId="1" applyNumberFormat="1" applyFont="1" applyBorder="1" applyAlignment="1">
      <alignment vertical="center" wrapText="1"/>
    </xf>
    <xf numFmtId="184" fontId="13" fillId="0" borderId="57" xfId="1" applyNumberFormat="1" applyFont="1" applyBorder="1" applyAlignment="1">
      <alignment vertical="center" wrapText="1"/>
    </xf>
    <xf numFmtId="184" fontId="13" fillId="0" borderId="63" xfId="1" applyNumberFormat="1" applyFont="1" applyBorder="1" applyAlignment="1">
      <alignment vertical="center" wrapText="1"/>
    </xf>
    <xf numFmtId="185" fontId="13" fillId="0" borderId="62" xfId="1" applyNumberFormat="1" applyFont="1" applyBorder="1" applyAlignment="1">
      <alignment vertical="center" wrapText="1"/>
    </xf>
    <xf numFmtId="185" fontId="13" fillId="0" borderId="57" xfId="1" applyNumberFormat="1" applyFont="1" applyBorder="1" applyAlignment="1">
      <alignment vertical="center" wrapText="1"/>
    </xf>
    <xf numFmtId="184" fontId="13" fillId="13" borderId="1" xfId="1" applyNumberFormat="1" applyFont="1" applyFill="1" applyBorder="1" applyAlignment="1">
      <alignment horizontal="center" vertical="center" wrapText="1"/>
    </xf>
    <xf numFmtId="184" fontId="13" fillId="13" borderId="57" xfId="1" applyNumberFormat="1" applyFont="1" applyFill="1" applyBorder="1" applyAlignment="1">
      <alignment vertical="center" wrapText="1"/>
    </xf>
    <xf numFmtId="184" fontId="13" fillId="13" borderId="51" xfId="1" applyNumberFormat="1" applyFont="1" applyFill="1" applyBorder="1" applyAlignment="1">
      <alignment horizontal="center" vertical="center" wrapText="1"/>
    </xf>
    <xf numFmtId="185" fontId="13" fillId="13" borderId="56" xfId="0" applyNumberFormat="1" applyFont="1" applyFill="1" applyBorder="1" applyAlignment="1">
      <alignment horizontal="center" vertical="center"/>
    </xf>
    <xf numFmtId="185" fontId="13" fillId="13" borderId="13" xfId="0" applyNumberFormat="1" applyFont="1" applyFill="1" applyBorder="1" applyAlignment="1">
      <alignment horizontal="center" vertical="center"/>
    </xf>
    <xf numFmtId="185" fontId="13" fillId="13" borderId="54" xfId="0" applyNumberFormat="1" applyFont="1" applyFill="1" applyBorder="1" applyAlignment="1">
      <alignment horizontal="center" vertical="center"/>
    </xf>
    <xf numFmtId="185" fontId="13" fillId="13" borderId="7" xfId="0" applyNumberFormat="1" applyFont="1" applyFill="1" applyBorder="1" applyAlignment="1">
      <alignment horizontal="center" vertical="center"/>
    </xf>
    <xf numFmtId="184" fontId="13" fillId="13" borderId="27" xfId="1" applyNumberFormat="1" applyFont="1" applyFill="1" applyBorder="1" applyAlignment="1">
      <alignment horizontal="center" vertical="center" wrapText="1"/>
    </xf>
    <xf numFmtId="184" fontId="13" fillId="13" borderId="63" xfId="1" applyNumberFormat="1" applyFont="1" applyFill="1" applyBorder="1" applyAlignment="1">
      <alignment vertical="center" wrapText="1"/>
    </xf>
    <xf numFmtId="184" fontId="13" fillId="13" borderId="64" xfId="1" applyNumberFormat="1" applyFont="1" applyFill="1" applyBorder="1" applyAlignment="1">
      <alignment horizontal="center" vertical="center" wrapText="1"/>
    </xf>
    <xf numFmtId="185" fontId="13" fillId="13" borderId="50" xfId="0" applyNumberFormat="1" applyFont="1" applyFill="1" applyBorder="1" applyAlignment="1">
      <alignment horizontal="center" vertical="center"/>
    </xf>
    <xf numFmtId="185" fontId="13" fillId="13" borderId="36" xfId="0" applyNumberFormat="1" applyFont="1" applyFill="1" applyBorder="1" applyAlignment="1">
      <alignment horizontal="center" vertical="center"/>
    </xf>
    <xf numFmtId="185" fontId="13" fillId="13" borderId="63" xfId="0" applyNumberFormat="1" applyFont="1" applyFill="1" applyBorder="1" applyAlignment="1">
      <alignment horizontal="center" vertical="center"/>
    </xf>
    <xf numFmtId="184" fontId="13" fillId="13" borderId="12" xfId="1" applyNumberFormat="1" applyFont="1" applyFill="1" applyBorder="1" applyAlignment="1">
      <alignment horizontal="center" vertical="center" wrapText="1"/>
    </xf>
    <xf numFmtId="185" fontId="13" fillId="13" borderId="57" xfId="1" applyNumberFormat="1" applyFont="1" applyFill="1" applyBorder="1" applyAlignment="1">
      <alignment vertical="center" wrapText="1"/>
    </xf>
    <xf numFmtId="185" fontId="13" fillId="13" borderId="34" xfId="1" applyNumberFormat="1" applyFont="1" applyFill="1" applyBorder="1" applyAlignment="1">
      <alignment horizontal="center" vertical="center" wrapText="1"/>
    </xf>
    <xf numFmtId="185" fontId="13" fillId="13" borderId="40" xfId="0" applyNumberFormat="1" applyFont="1" applyFill="1" applyBorder="1" applyAlignment="1">
      <alignment horizontal="center" vertical="center"/>
    </xf>
    <xf numFmtId="185" fontId="13" fillId="13" borderId="1" xfId="0" applyNumberFormat="1" applyFont="1" applyFill="1" applyBorder="1" applyAlignment="1">
      <alignment horizontal="center" vertical="center"/>
    </xf>
    <xf numFmtId="185" fontId="13" fillId="13" borderId="21" xfId="0" applyNumberFormat="1" applyFont="1" applyFill="1" applyBorder="1" applyAlignment="1">
      <alignment horizontal="center" vertical="center"/>
    </xf>
    <xf numFmtId="184" fontId="13" fillId="13" borderId="13" xfId="1" applyNumberFormat="1" applyFont="1" applyFill="1" applyBorder="1" applyAlignment="1">
      <alignment horizontal="center" vertical="center" wrapText="1"/>
    </xf>
    <xf numFmtId="185" fontId="13" fillId="13" borderId="63" xfId="1" applyNumberFormat="1" applyFont="1" applyFill="1" applyBorder="1" applyAlignment="1">
      <alignment vertical="center" wrapText="1"/>
    </xf>
    <xf numFmtId="184" fontId="13" fillId="17" borderId="1" xfId="1" applyNumberFormat="1" applyFont="1" applyFill="1" applyBorder="1" applyAlignment="1">
      <alignment horizontal="center" vertical="center" wrapText="1"/>
    </xf>
    <xf numFmtId="184" fontId="13" fillId="17" borderId="57" xfId="1" applyNumberFormat="1" applyFont="1" applyFill="1" applyBorder="1" applyAlignment="1">
      <alignment vertical="center" wrapText="1"/>
    </xf>
    <xf numFmtId="184" fontId="13" fillId="17" borderId="51" xfId="1" applyNumberFormat="1" applyFont="1" applyFill="1" applyBorder="1" applyAlignment="1">
      <alignment horizontal="center" vertical="center" wrapText="1"/>
    </xf>
    <xf numFmtId="185" fontId="13" fillId="17" borderId="40" xfId="0" applyNumberFormat="1" applyFont="1" applyFill="1" applyBorder="1" applyAlignment="1">
      <alignment horizontal="center" vertical="center"/>
    </xf>
    <xf numFmtId="185" fontId="13" fillId="17" borderId="1" xfId="0" applyNumberFormat="1" applyFont="1" applyFill="1" applyBorder="1" applyAlignment="1">
      <alignment horizontal="center" vertical="center"/>
    </xf>
    <xf numFmtId="185" fontId="13" fillId="17" borderId="21" xfId="0" applyNumberFormat="1" applyFont="1" applyFill="1" applyBorder="1" applyAlignment="1">
      <alignment horizontal="center" vertical="center"/>
    </xf>
    <xf numFmtId="0" fontId="13" fillId="17" borderId="0" xfId="0" applyFont="1" applyFill="1">
      <alignment vertical="center"/>
    </xf>
    <xf numFmtId="184" fontId="13" fillId="17" borderId="12" xfId="1" applyNumberFormat="1" applyFont="1" applyFill="1" applyBorder="1" applyAlignment="1">
      <alignment horizontal="center" vertical="center" wrapText="1"/>
    </xf>
    <xf numFmtId="185" fontId="13" fillId="17" borderId="57" xfId="1" applyNumberFormat="1" applyFont="1" applyFill="1" applyBorder="1" applyAlignment="1">
      <alignment vertical="center" wrapText="1"/>
    </xf>
    <xf numFmtId="185" fontId="13" fillId="17" borderId="34" xfId="1" applyNumberFormat="1" applyFont="1" applyFill="1" applyBorder="1" applyAlignment="1">
      <alignment horizontal="center" vertical="center" wrapText="1"/>
    </xf>
    <xf numFmtId="184" fontId="13" fillId="17" borderId="13" xfId="1" applyNumberFormat="1" applyFont="1" applyFill="1" applyBorder="1" applyAlignment="1">
      <alignment horizontal="center" vertical="center" wrapText="1"/>
    </xf>
    <xf numFmtId="184" fontId="13" fillId="17" borderId="34" xfId="1" applyNumberFormat="1" applyFont="1" applyFill="1" applyBorder="1" applyAlignment="1">
      <alignment horizontal="center" vertical="center" wrapText="1"/>
    </xf>
    <xf numFmtId="185" fontId="13" fillId="17" borderId="56" xfId="0" applyNumberFormat="1" applyFont="1" applyFill="1" applyBorder="1" applyAlignment="1">
      <alignment horizontal="center" vertical="center"/>
    </xf>
    <xf numFmtId="185" fontId="13" fillId="17" borderId="13" xfId="0" applyNumberFormat="1" applyFont="1" applyFill="1" applyBorder="1" applyAlignment="1">
      <alignment horizontal="center" vertical="center"/>
    </xf>
    <xf numFmtId="185" fontId="13" fillId="17" borderId="54" xfId="0" applyNumberFormat="1" applyFont="1" applyFill="1" applyBorder="1" applyAlignment="1">
      <alignment horizontal="center" vertical="center"/>
    </xf>
    <xf numFmtId="184" fontId="13" fillId="0" borderId="65" xfId="1" applyNumberFormat="1" applyFont="1" applyBorder="1" applyAlignment="1">
      <alignment vertical="center" wrapText="1"/>
    </xf>
    <xf numFmtId="184" fontId="13" fillId="0" borderId="6" xfId="1" applyNumberFormat="1" applyFont="1" applyBorder="1" applyAlignment="1">
      <alignment vertical="center" wrapText="1"/>
    </xf>
    <xf numFmtId="184" fontId="13" fillId="17" borderId="6" xfId="1" applyNumberFormat="1" applyFont="1" applyFill="1" applyBorder="1" applyAlignment="1">
      <alignment vertical="center" wrapText="1"/>
    </xf>
    <xf numFmtId="184" fontId="13" fillId="17" borderId="0" xfId="1" applyNumberFormat="1" applyFont="1" applyFill="1" applyAlignment="1">
      <alignment horizontal="center" vertical="center" wrapText="1"/>
    </xf>
    <xf numFmtId="184" fontId="13" fillId="18" borderId="1" xfId="1" applyNumberFormat="1" applyFont="1" applyFill="1" applyBorder="1" applyAlignment="1">
      <alignment horizontal="center" vertical="center" wrapText="1"/>
    </xf>
    <xf numFmtId="184" fontId="13" fillId="18" borderId="12" xfId="1" applyNumberFormat="1" applyFont="1" applyFill="1" applyBorder="1" applyAlignment="1">
      <alignment horizontal="center" vertical="center" wrapText="1"/>
    </xf>
    <xf numFmtId="184" fontId="13" fillId="18" borderId="13" xfId="1" applyNumberFormat="1" applyFont="1" applyFill="1" applyBorder="1" applyAlignment="1">
      <alignment horizontal="center" vertical="center" wrapText="1"/>
    </xf>
    <xf numFmtId="184" fontId="13" fillId="18" borderId="57" xfId="1" applyNumberFormat="1" applyFont="1" applyFill="1" applyBorder="1" applyAlignment="1">
      <alignment vertical="center" wrapText="1"/>
    </xf>
    <xf numFmtId="184" fontId="13" fillId="18" borderId="34" xfId="1" applyNumberFormat="1" applyFont="1" applyFill="1" applyBorder="1" applyAlignment="1">
      <alignment horizontal="center" vertical="center" wrapText="1"/>
    </xf>
    <xf numFmtId="185" fontId="13" fillId="18" borderId="40" xfId="0" applyNumberFormat="1" applyFont="1" applyFill="1" applyBorder="1" applyAlignment="1">
      <alignment horizontal="center" vertical="center"/>
    </xf>
    <xf numFmtId="185" fontId="13" fillId="18" borderId="1" xfId="0" applyNumberFormat="1" applyFont="1" applyFill="1" applyBorder="1" applyAlignment="1">
      <alignment horizontal="center" vertical="center"/>
    </xf>
    <xf numFmtId="185" fontId="13" fillId="18" borderId="21" xfId="0" applyNumberFormat="1" applyFont="1" applyFill="1" applyBorder="1" applyAlignment="1">
      <alignment horizontal="center" vertical="center"/>
    </xf>
    <xf numFmtId="0" fontId="13" fillId="18" borderId="0" xfId="0" applyFont="1" applyFill="1">
      <alignment vertical="center"/>
    </xf>
    <xf numFmtId="184" fontId="13" fillId="18" borderId="27" xfId="1" applyNumberFormat="1" applyFont="1" applyFill="1" applyBorder="1" applyAlignment="1">
      <alignment horizontal="center" vertical="center" wrapText="1"/>
    </xf>
    <xf numFmtId="184" fontId="13" fillId="18" borderId="31" xfId="1" applyNumberFormat="1" applyFont="1" applyFill="1" applyBorder="1" applyAlignment="1">
      <alignment horizontal="center" vertical="center" wrapText="1"/>
    </xf>
    <xf numFmtId="184" fontId="13" fillId="18" borderId="63" xfId="1" applyNumberFormat="1" applyFont="1" applyFill="1" applyBorder="1" applyAlignment="1">
      <alignment vertical="center" wrapText="1"/>
    </xf>
    <xf numFmtId="185" fontId="13" fillId="18" borderId="52" xfId="0" applyNumberFormat="1" applyFont="1" applyFill="1" applyBorder="1" applyAlignment="1">
      <alignment horizontal="center" vertical="center"/>
    </xf>
    <xf numFmtId="185" fontId="13" fillId="18" borderId="12" xfId="0" applyNumberFormat="1" applyFont="1" applyFill="1" applyBorder="1" applyAlignment="1">
      <alignment horizontal="center" vertical="center"/>
    </xf>
    <xf numFmtId="185" fontId="13" fillId="18" borderId="53" xfId="0" applyNumberFormat="1" applyFont="1" applyFill="1" applyBorder="1" applyAlignment="1">
      <alignment horizontal="center" vertical="center"/>
    </xf>
    <xf numFmtId="184" fontId="13" fillId="18" borderId="36" xfId="1" applyNumberFormat="1" applyFont="1" applyFill="1" applyBorder="1" applyAlignment="1">
      <alignment horizontal="center" vertical="center" wrapText="1"/>
    </xf>
    <xf numFmtId="184" fontId="13" fillId="18" borderId="9" xfId="1" applyNumberFormat="1" applyFont="1" applyFill="1" applyBorder="1" applyAlignment="1">
      <alignment horizontal="center" vertical="center" wrapText="1"/>
    </xf>
    <xf numFmtId="184" fontId="13" fillId="18" borderId="66" xfId="1" applyNumberFormat="1" applyFont="1" applyFill="1" applyBorder="1" applyAlignment="1">
      <alignment horizontal="center" vertical="center" wrapText="1"/>
    </xf>
    <xf numFmtId="184" fontId="13" fillId="18" borderId="9" xfId="1" applyNumberFormat="1" applyFont="1" applyFill="1" applyBorder="1" applyAlignment="1">
      <alignment vertical="center" wrapText="1"/>
    </xf>
    <xf numFmtId="184" fontId="13" fillId="18" borderId="2" xfId="1" applyNumberFormat="1" applyFont="1" applyFill="1" applyBorder="1" applyAlignment="1">
      <alignment horizontal="center" vertical="center" wrapText="1"/>
    </xf>
    <xf numFmtId="184" fontId="13" fillId="18" borderId="64" xfId="1" applyNumberFormat="1" applyFont="1" applyFill="1" applyBorder="1" applyAlignment="1">
      <alignment horizontal="center" vertical="center" wrapText="1"/>
    </xf>
    <xf numFmtId="185" fontId="13" fillId="18" borderId="41" xfId="0" applyNumberFormat="1" applyFont="1" applyFill="1" applyBorder="1" applyAlignment="1">
      <alignment horizontal="center" vertical="center"/>
    </xf>
    <xf numFmtId="185" fontId="13" fillId="18" borderId="27" xfId="0" applyNumberFormat="1" applyFont="1" applyFill="1" applyBorder="1" applyAlignment="1">
      <alignment horizontal="center" vertical="center"/>
    </xf>
    <xf numFmtId="185" fontId="13" fillId="18" borderId="22" xfId="0" applyNumberFormat="1" applyFont="1" applyFill="1" applyBorder="1" applyAlignment="1">
      <alignment horizontal="center" vertical="center"/>
    </xf>
    <xf numFmtId="184" fontId="13" fillId="0" borderId="67" xfId="1" applyNumberFormat="1" applyFont="1" applyBorder="1" applyAlignment="1">
      <alignment vertical="center" wrapText="1"/>
    </xf>
    <xf numFmtId="184" fontId="13" fillId="0" borderId="51" xfId="1" applyNumberFormat="1" applyFont="1" applyBorder="1" applyAlignment="1">
      <alignment vertical="center" wrapText="1"/>
    </xf>
    <xf numFmtId="184" fontId="13" fillId="0" borderId="64" xfId="1" applyNumberFormat="1" applyFont="1" applyBorder="1" applyAlignment="1">
      <alignment vertical="center" wrapText="1"/>
    </xf>
    <xf numFmtId="184" fontId="13" fillId="14" borderId="12" xfId="1" applyNumberFormat="1" applyFont="1" applyFill="1" applyBorder="1" applyAlignment="1">
      <alignment horizontal="center" vertical="center" wrapText="1"/>
    </xf>
    <xf numFmtId="184" fontId="13" fillId="14" borderId="21" xfId="1" applyNumberFormat="1" applyFont="1" applyFill="1" applyBorder="1" applyAlignment="1">
      <alignment vertical="center" wrapText="1"/>
    </xf>
    <xf numFmtId="184" fontId="13" fillId="14" borderId="34" xfId="1" applyNumberFormat="1" applyFont="1" applyFill="1" applyBorder="1" applyAlignment="1">
      <alignment vertical="center" wrapText="1"/>
    </xf>
    <xf numFmtId="184" fontId="13" fillId="14" borderId="51" xfId="1" applyNumberFormat="1" applyFont="1" applyFill="1" applyBorder="1" applyAlignment="1">
      <alignment vertical="center" wrapText="1"/>
    </xf>
    <xf numFmtId="185" fontId="13" fillId="14" borderId="40" xfId="0" applyNumberFormat="1" applyFont="1" applyFill="1" applyBorder="1">
      <alignment vertical="center"/>
    </xf>
    <xf numFmtId="185" fontId="13" fillId="14" borderId="1" xfId="0" applyNumberFormat="1" applyFont="1" applyFill="1" applyBorder="1">
      <alignment vertical="center"/>
    </xf>
    <xf numFmtId="185" fontId="13" fillId="14" borderId="21" xfId="0" applyNumberFormat="1" applyFont="1" applyFill="1" applyBorder="1">
      <alignment vertical="center"/>
    </xf>
    <xf numFmtId="184" fontId="13" fillId="0" borderId="55" xfId="0" applyNumberFormat="1" applyFont="1" applyBorder="1">
      <alignment vertical="center"/>
    </xf>
    <xf numFmtId="184" fontId="13" fillId="0" borderId="51" xfId="0" applyNumberFormat="1" applyFont="1" applyBorder="1">
      <alignment vertical="center"/>
    </xf>
    <xf numFmtId="184" fontId="13" fillId="14" borderId="11" xfId="0" applyNumberFormat="1" applyFont="1" applyFill="1" applyBorder="1" applyAlignment="1">
      <alignment horizontal="center" vertical="center"/>
    </xf>
    <xf numFmtId="184" fontId="13" fillId="14" borderId="0" xfId="0" applyNumberFormat="1" applyFont="1" applyFill="1">
      <alignment vertical="center"/>
    </xf>
    <xf numFmtId="184" fontId="13" fillId="14" borderId="51" xfId="0" applyNumberFormat="1" applyFont="1" applyFill="1" applyBorder="1">
      <alignment vertical="center"/>
    </xf>
    <xf numFmtId="184" fontId="13" fillId="14" borderId="1" xfId="0" applyNumberFormat="1" applyFont="1" applyFill="1" applyBorder="1" applyAlignment="1">
      <alignment horizontal="center" vertical="center"/>
    </xf>
    <xf numFmtId="185" fontId="13" fillId="14" borderId="21" xfId="0" applyNumberFormat="1" applyFont="1" applyFill="1" applyBorder="1" applyAlignment="1">
      <alignment horizontal="center" vertical="center"/>
    </xf>
    <xf numFmtId="0" fontId="13" fillId="14" borderId="0" xfId="0" applyFont="1" applyFill="1">
      <alignment vertical="center"/>
    </xf>
    <xf numFmtId="184" fontId="13" fillId="18" borderId="2" xfId="0" applyNumberFormat="1" applyFont="1" applyFill="1" applyBorder="1" applyAlignment="1">
      <alignment horizontal="center" vertical="center"/>
    </xf>
    <xf numFmtId="184" fontId="13" fillId="18" borderId="2" xfId="0" applyNumberFormat="1" applyFont="1" applyFill="1" applyBorder="1">
      <alignment vertical="center"/>
    </xf>
    <xf numFmtId="184" fontId="13" fillId="18" borderId="27" xfId="0" applyNumberFormat="1" applyFont="1" applyFill="1" applyBorder="1" applyAlignment="1">
      <alignment horizontal="center" vertical="center"/>
    </xf>
    <xf numFmtId="184" fontId="13" fillId="14" borderId="31" xfId="0" applyNumberFormat="1" applyFont="1" applyFill="1" applyBorder="1" applyAlignment="1">
      <alignment horizontal="center" vertical="center"/>
    </xf>
    <xf numFmtId="184" fontId="13" fillId="12" borderId="55" xfId="0" applyNumberFormat="1" applyFont="1" applyFill="1" applyBorder="1">
      <alignment vertical="center"/>
    </xf>
    <xf numFmtId="184" fontId="13" fillId="12" borderId="51" xfId="0" applyNumberFormat="1" applyFont="1" applyFill="1" applyBorder="1">
      <alignment vertical="center"/>
    </xf>
    <xf numFmtId="184" fontId="13" fillId="14" borderId="1" xfId="0" applyNumberFormat="1" applyFont="1" applyFill="1" applyBorder="1">
      <alignment vertical="center"/>
    </xf>
    <xf numFmtId="184" fontId="13" fillId="14" borderId="23" xfId="0" applyNumberFormat="1" applyFont="1" applyFill="1" applyBorder="1">
      <alignment vertical="center"/>
    </xf>
    <xf numFmtId="184" fontId="13" fillId="14" borderId="15" xfId="0" applyNumberFormat="1" applyFont="1" applyFill="1" applyBorder="1" applyAlignment="1">
      <alignment horizontal="center" vertical="center"/>
    </xf>
    <xf numFmtId="185" fontId="13" fillId="14" borderId="22" xfId="0" applyNumberFormat="1" applyFont="1" applyFill="1" applyBorder="1" applyAlignment="1">
      <alignment horizontal="center" vertical="center"/>
    </xf>
    <xf numFmtId="184" fontId="13" fillId="14" borderId="21" xfId="0" applyNumberFormat="1" applyFont="1" applyFill="1" applyBorder="1">
      <alignment vertical="center"/>
    </xf>
    <xf numFmtId="184" fontId="13" fillId="14" borderId="34" xfId="0" applyNumberFormat="1" applyFont="1" applyFill="1" applyBorder="1">
      <alignment vertical="center"/>
    </xf>
    <xf numFmtId="183" fontId="13" fillId="14" borderId="21" xfId="0" applyNumberFormat="1" applyFont="1" applyFill="1" applyBorder="1" applyAlignment="1">
      <alignment horizontal="center" vertical="center"/>
    </xf>
    <xf numFmtId="184" fontId="13" fillId="14" borderId="31" xfId="0" applyNumberFormat="1" applyFont="1" applyFill="1" applyBorder="1">
      <alignment vertical="center"/>
    </xf>
    <xf numFmtId="184" fontId="13" fillId="14" borderId="6" xfId="0" applyNumberFormat="1" applyFont="1" applyFill="1" applyBorder="1">
      <alignment vertical="center"/>
    </xf>
    <xf numFmtId="184" fontId="13" fillId="14" borderId="64" xfId="0" applyNumberFormat="1" applyFont="1" applyFill="1" applyBorder="1">
      <alignment vertical="center"/>
    </xf>
    <xf numFmtId="183" fontId="13" fillId="14" borderId="22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4" borderId="1" xfId="0" applyFont="1" applyFill="1" applyBorder="1">
      <alignment vertical="center"/>
    </xf>
    <xf numFmtId="0" fontId="13" fillId="14" borderId="23" xfId="0" applyFont="1" applyFill="1" applyBorder="1">
      <alignment vertical="center"/>
    </xf>
    <xf numFmtId="184" fontId="13" fillId="14" borderId="37" xfId="0" applyNumberFormat="1" applyFont="1" applyFill="1" applyBorder="1" applyAlignment="1">
      <alignment horizontal="center" vertical="center"/>
    </xf>
    <xf numFmtId="183" fontId="13" fillId="14" borderId="63" xfId="0" applyNumberFormat="1" applyFont="1" applyFill="1" applyBorder="1" applyAlignment="1">
      <alignment horizontal="center" vertical="center"/>
    </xf>
    <xf numFmtId="184" fontId="13" fillId="14" borderId="27" xfId="0" applyNumberFormat="1" applyFont="1" applyFill="1" applyBorder="1" applyAlignment="1">
      <alignment horizontal="center" vertical="center"/>
    </xf>
    <xf numFmtId="184" fontId="13" fillId="14" borderId="24" xfId="0" applyNumberFormat="1" applyFont="1" applyFill="1" applyBorder="1">
      <alignment vertical="center"/>
    </xf>
    <xf numFmtId="184" fontId="13" fillId="14" borderId="2" xfId="0" applyNumberFormat="1" applyFont="1" applyFill="1" applyBorder="1">
      <alignment vertical="center"/>
    </xf>
    <xf numFmtId="185" fontId="13" fillId="14" borderId="32" xfId="0" applyNumberFormat="1" applyFont="1" applyFill="1" applyBorder="1" applyAlignment="1">
      <alignment horizontal="center" vertical="center"/>
    </xf>
    <xf numFmtId="185" fontId="13" fillId="14" borderId="27" xfId="0" applyNumberFormat="1" applyFont="1" applyFill="1" applyBorder="1" applyAlignment="1">
      <alignment horizontal="center" vertical="center"/>
    </xf>
    <xf numFmtId="184" fontId="13" fillId="14" borderId="12" xfId="1" applyNumberFormat="1" applyFont="1" applyFill="1" applyBorder="1" applyAlignment="1">
      <alignment horizontal="justify" vertical="center" wrapText="1"/>
    </xf>
    <xf numFmtId="186" fontId="13" fillId="14" borderId="0" xfId="0" applyNumberFormat="1" applyFont="1" applyFill="1" applyAlignment="1">
      <alignment horizontal="center" vertical="center"/>
    </xf>
    <xf numFmtId="189" fontId="13" fillId="14" borderId="0" xfId="0" applyNumberFormat="1" applyFont="1" applyFill="1" applyAlignment="1">
      <alignment horizontal="center" vertical="center"/>
    </xf>
    <xf numFmtId="186" fontId="13" fillId="14" borderId="34" xfId="0" applyNumberFormat="1" applyFont="1" applyFill="1" applyBorder="1" applyAlignment="1">
      <alignment horizontal="center" vertical="center"/>
    </xf>
    <xf numFmtId="184" fontId="13" fillId="13" borderId="36" xfId="1" applyNumberFormat="1" applyFont="1" applyFill="1" applyBorder="1" applyAlignment="1">
      <alignment horizontal="center" vertical="center" wrapText="1"/>
    </xf>
    <xf numFmtId="184" fontId="13" fillId="0" borderId="68" xfId="0" applyNumberFormat="1" applyFont="1" applyBorder="1">
      <alignment vertical="center"/>
    </xf>
    <xf numFmtId="184" fontId="13" fillId="0" borderId="69" xfId="0" applyNumberFormat="1" applyFont="1" applyBorder="1">
      <alignment vertical="center"/>
    </xf>
    <xf numFmtId="184" fontId="13" fillId="14" borderId="69" xfId="0" applyNumberFormat="1" applyFont="1" applyFill="1" applyBorder="1">
      <alignment vertical="center"/>
    </xf>
    <xf numFmtId="184" fontId="13" fillId="18" borderId="70" xfId="0" applyNumberFormat="1" applyFont="1" applyFill="1" applyBorder="1">
      <alignment vertical="center"/>
    </xf>
    <xf numFmtId="184" fontId="13" fillId="0" borderId="71" xfId="0" applyNumberFormat="1" applyFont="1" applyBorder="1" applyAlignment="1">
      <alignment horizontal="center" vertical="center"/>
    </xf>
    <xf numFmtId="184" fontId="13" fillId="0" borderId="72" xfId="0" applyNumberFormat="1" applyFont="1" applyBorder="1" applyAlignment="1">
      <alignment horizontal="center" vertical="center"/>
    </xf>
    <xf numFmtId="184" fontId="13" fillId="0" borderId="62" xfId="0" applyNumberFormat="1" applyFont="1" applyBorder="1" applyAlignment="1">
      <alignment horizontal="center" vertical="center"/>
    </xf>
    <xf numFmtId="184" fontId="13" fillId="0" borderId="58" xfId="0" applyNumberFormat="1" applyFont="1" applyBorder="1" applyAlignment="1">
      <alignment horizontal="center" vertical="center"/>
    </xf>
    <xf numFmtId="184" fontId="13" fillId="0" borderId="53" xfId="0" applyNumberFormat="1" applyFont="1" applyBorder="1" applyAlignment="1">
      <alignment horizontal="center" vertical="center"/>
    </xf>
    <xf numFmtId="184" fontId="13" fillId="0" borderId="39" xfId="0" applyNumberFormat="1" applyFont="1" applyBorder="1" applyAlignment="1">
      <alignment horizontal="center" vertical="center"/>
    </xf>
    <xf numFmtId="184" fontId="13" fillId="0" borderId="40" xfId="0" applyNumberFormat="1" applyFont="1" applyBorder="1" applyAlignment="1">
      <alignment horizontal="center" vertical="center"/>
    </xf>
    <xf numFmtId="184" fontId="13" fillId="14" borderId="40" xfId="0" applyNumberFormat="1" applyFont="1" applyFill="1" applyBorder="1" applyAlignment="1">
      <alignment horizontal="center" vertical="center"/>
    </xf>
    <xf numFmtId="184" fontId="13" fillId="18" borderId="41" xfId="0" applyNumberFormat="1" applyFont="1" applyFill="1" applyBorder="1" applyAlignment="1">
      <alignment horizontal="center" vertical="center"/>
    </xf>
    <xf numFmtId="184" fontId="13" fillId="14" borderId="2" xfId="0" applyNumberFormat="1" applyFont="1" applyFill="1" applyBorder="1" applyAlignment="1">
      <alignment horizontal="center" vertical="center"/>
    </xf>
    <xf numFmtId="184" fontId="13" fillId="14" borderId="35" xfId="0" applyNumberFormat="1" applyFont="1" applyFill="1" applyBorder="1">
      <alignment vertical="center"/>
    </xf>
    <xf numFmtId="184" fontId="13" fillId="18" borderId="21" xfId="1" applyNumberFormat="1" applyFont="1" applyFill="1" applyBorder="1" applyAlignment="1">
      <alignment vertical="center" wrapText="1"/>
    </xf>
    <xf numFmtId="184" fontId="13" fillId="18" borderId="60" xfId="1" applyNumberFormat="1" applyFont="1" applyFill="1" applyBorder="1" applyAlignment="1">
      <alignment vertical="center" wrapText="1"/>
    </xf>
    <xf numFmtId="184" fontId="13" fillId="18" borderId="67" xfId="1" applyNumberFormat="1" applyFont="1" applyFill="1" applyBorder="1" applyAlignment="1">
      <alignment vertical="center" wrapText="1"/>
    </xf>
    <xf numFmtId="187" fontId="13" fillId="18" borderId="40" xfId="1" applyNumberFormat="1" applyFont="1" applyFill="1" applyBorder="1" applyAlignment="1">
      <alignment horizontal="center" vertical="center" wrapText="1"/>
    </xf>
    <xf numFmtId="187" fontId="13" fillId="18" borderId="1" xfId="0" applyNumberFormat="1" applyFont="1" applyFill="1" applyBorder="1" applyAlignment="1">
      <alignment horizontal="center" vertical="center"/>
    </xf>
    <xf numFmtId="0" fontId="13" fillId="18" borderId="1" xfId="1" applyFont="1" applyFill="1" applyBorder="1" applyAlignment="1">
      <alignment horizontal="center" vertical="center" wrapText="1"/>
    </xf>
    <xf numFmtId="0" fontId="13" fillId="18" borderId="1" xfId="1" applyFont="1" applyFill="1" applyBorder="1" applyAlignment="1">
      <alignment vertical="center" wrapText="1"/>
    </xf>
    <xf numFmtId="0" fontId="13" fillId="18" borderId="1" xfId="0" applyFont="1" applyFill="1" applyBorder="1">
      <alignment vertical="center"/>
    </xf>
    <xf numFmtId="184" fontId="13" fillId="19" borderId="1" xfId="1" applyNumberFormat="1" applyFont="1" applyFill="1" applyBorder="1" applyAlignment="1">
      <alignment horizontal="center" vertical="center" wrapText="1"/>
    </xf>
    <xf numFmtId="184" fontId="13" fillId="19" borderId="21" xfId="1" applyNumberFormat="1" applyFont="1" applyFill="1" applyBorder="1" applyAlignment="1">
      <alignment vertical="center" wrapText="1"/>
    </xf>
    <xf numFmtId="184" fontId="13" fillId="19" borderId="34" xfId="1" applyNumberFormat="1" applyFont="1" applyFill="1" applyBorder="1" applyAlignment="1">
      <alignment vertical="center" wrapText="1"/>
    </xf>
    <xf numFmtId="184" fontId="13" fillId="19" borderId="51" xfId="1" applyNumberFormat="1" applyFont="1" applyFill="1" applyBorder="1" applyAlignment="1">
      <alignment vertical="center" wrapText="1"/>
    </xf>
    <xf numFmtId="187" fontId="13" fillId="19" borderId="40" xfId="1" applyNumberFormat="1" applyFont="1" applyFill="1" applyBorder="1" applyAlignment="1">
      <alignment horizontal="center" vertical="center" wrapText="1"/>
    </xf>
    <xf numFmtId="187" fontId="13" fillId="19" borderId="1" xfId="0" applyNumberFormat="1" applyFont="1" applyFill="1" applyBorder="1" applyAlignment="1">
      <alignment horizontal="center" vertical="center"/>
    </xf>
    <xf numFmtId="185" fontId="13" fillId="19" borderId="21" xfId="0" applyNumberFormat="1" applyFont="1" applyFill="1" applyBorder="1" applyAlignment="1">
      <alignment horizontal="center" vertical="center"/>
    </xf>
    <xf numFmtId="0" fontId="13" fillId="19" borderId="1" xfId="1" applyFont="1" applyFill="1" applyBorder="1" applyAlignment="1">
      <alignment horizontal="center" vertical="center" wrapText="1"/>
    </xf>
    <xf numFmtId="0" fontId="13" fillId="19" borderId="1" xfId="1" applyFont="1" applyFill="1" applyBorder="1" applyAlignment="1">
      <alignment vertical="center" wrapText="1"/>
    </xf>
    <xf numFmtId="0" fontId="13" fillId="19" borderId="1" xfId="0" applyFont="1" applyFill="1" applyBorder="1">
      <alignment vertical="center"/>
    </xf>
    <xf numFmtId="0" fontId="13" fillId="19" borderId="0" xfId="0" applyFont="1" applyFill="1">
      <alignment vertical="center"/>
    </xf>
    <xf numFmtId="184" fontId="13" fillId="0" borderId="38" xfId="1" applyNumberFormat="1" applyFont="1" applyBorder="1" applyAlignment="1">
      <alignment horizontal="center" vertical="center" wrapText="1"/>
    </xf>
    <xf numFmtId="184" fontId="13" fillId="0" borderId="11" xfId="1" applyNumberFormat="1" applyFont="1" applyBorder="1" applyAlignment="1">
      <alignment horizontal="center" vertical="center" wrapText="1"/>
    </xf>
    <xf numFmtId="184" fontId="13" fillId="0" borderId="32" xfId="1" applyNumberFormat="1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>
      <alignment vertical="center"/>
    </xf>
    <xf numFmtId="0" fontId="0" fillId="3" borderId="0" xfId="0" applyFill="1">
      <alignment vertical="center"/>
    </xf>
    <xf numFmtId="191" fontId="11" fillId="0" borderId="1" xfId="1" applyNumberFormat="1" applyFont="1" applyBorder="1" applyAlignment="1">
      <alignment horizontal="center" vertical="center" wrapText="1"/>
    </xf>
    <xf numFmtId="179" fontId="11" fillId="0" borderId="1" xfId="1" applyNumberFormat="1" applyFont="1" applyBorder="1" applyAlignment="1">
      <alignment horizontal="center" vertical="center" wrapText="1"/>
    </xf>
    <xf numFmtId="179" fontId="36" fillId="0" borderId="1" xfId="1" applyNumberFormat="1" applyBorder="1" applyAlignment="1">
      <alignment horizontal="center" vertical="center" wrapText="1"/>
    </xf>
    <xf numFmtId="179" fontId="36" fillId="12" borderId="1" xfId="1" applyNumberFormat="1" applyFill="1" applyBorder="1" applyAlignment="1">
      <alignment horizontal="center" vertical="center" wrapText="1"/>
    </xf>
    <xf numFmtId="178" fontId="36" fillId="7" borderId="1" xfId="1" applyNumberFormat="1" applyFill="1" applyBorder="1" applyAlignment="1">
      <alignment horizontal="center" vertical="center" wrapText="1"/>
    </xf>
    <xf numFmtId="0" fontId="0" fillId="0" borderId="68" xfId="0" applyBorder="1">
      <alignment vertical="center"/>
    </xf>
    <xf numFmtId="0" fontId="0" fillId="0" borderId="59" xfId="0" applyBorder="1">
      <alignment vertical="center"/>
    </xf>
    <xf numFmtId="0" fontId="0" fillId="0" borderId="33" xfId="0" applyBorder="1">
      <alignment vertical="center"/>
    </xf>
    <xf numFmtId="0" fontId="0" fillId="0" borderId="69" xfId="0" applyBorder="1">
      <alignment vertical="center"/>
    </xf>
    <xf numFmtId="0" fontId="14" fillId="0" borderId="73" xfId="0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vertical="center" wrapText="1"/>
    </xf>
    <xf numFmtId="49" fontId="15" fillId="0" borderId="73" xfId="0" applyNumberFormat="1" applyFont="1" applyBorder="1">
      <alignment vertical="center"/>
    </xf>
    <xf numFmtId="49" fontId="14" fillId="0" borderId="73" xfId="0" applyNumberFormat="1" applyFont="1" applyBorder="1">
      <alignment vertical="center"/>
    </xf>
    <xf numFmtId="0" fontId="14" fillId="0" borderId="74" xfId="0" applyFont="1" applyBorder="1" applyAlignment="1">
      <alignment horizontal="center" vertical="center"/>
    </xf>
    <xf numFmtId="0" fontId="14" fillId="0" borderId="75" xfId="0" applyFont="1" applyBorder="1">
      <alignment vertical="center"/>
    </xf>
    <xf numFmtId="0" fontId="14" fillId="0" borderId="76" xfId="0" applyFont="1" applyBorder="1" applyAlignment="1">
      <alignment horizontal="center" vertical="center"/>
    </xf>
    <xf numFmtId="0" fontId="0" fillId="0" borderId="77" xfId="0" applyBorder="1">
      <alignment vertical="center"/>
    </xf>
    <xf numFmtId="178" fontId="8" fillId="6" borderId="1" xfId="0" applyNumberFormat="1" applyFont="1" applyFill="1" applyBorder="1" applyAlignment="1">
      <alignment horizontal="center" vertical="center" wrapText="1"/>
    </xf>
    <xf numFmtId="187" fontId="8" fillId="6" borderId="1" xfId="0" applyNumberFormat="1" applyFont="1" applyFill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179" fontId="8" fillId="6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shrinkToFit="1"/>
    </xf>
    <xf numFmtId="184" fontId="8" fillId="0" borderId="1" xfId="0" applyNumberFormat="1" applyFont="1" applyBorder="1" applyAlignment="1">
      <alignment horizontal="center" vertical="center" shrinkToFit="1"/>
    </xf>
    <xf numFmtId="184" fontId="8" fillId="6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14" fontId="0" fillId="0" borderId="1" xfId="0" applyNumberForma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0" borderId="39" xfId="1" applyFont="1" applyBorder="1" applyAlignment="1">
      <alignment horizontal="center" vertical="center" wrapText="1"/>
    </xf>
    <xf numFmtId="0" fontId="13" fillId="0" borderId="40" xfId="1" applyFont="1" applyBorder="1" applyAlignment="1">
      <alignment horizontal="center" vertical="center" wrapText="1"/>
    </xf>
    <xf numFmtId="0" fontId="13" fillId="0" borderId="41" xfId="1" applyFont="1" applyBorder="1" applyAlignment="1">
      <alignment horizontal="center" vertical="center" wrapText="1"/>
    </xf>
    <xf numFmtId="184" fontId="13" fillId="0" borderId="26" xfId="1" applyNumberFormat="1" applyFont="1" applyBorder="1" applyAlignment="1">
      <alignment horizontal="center" vertical="center" wrapText="1"/>
    </xf>
    <xf numFmtId="184" fontId="13" fillId="0" borderId="72" xfId="1" applyNumberFormat="1" applyFont="1" applyBorder="1" applyAlignment="1">
      <alignment horizontal="center" vertical="center" wrapText="1"/>
    </xf>
    <xf numFmtId="184" fontId="13" fillId="0" borderId="31" xfId="1" applyNumberFormat="1" applyFont="1" applyBorder="1" applyAlignment="1">
      <alignment horizontal="center" vertical="center" wrapText="1"/>
    </xf>
    <xf numFmtId="184" fontId="13" fillId="0" borderId="36" xfId="1" applyNumberFormat="1" applyFont="1" applyBorder="1" applyAlignment="1">
      <alignment horizontal="center" vertical="center" wrapText="1"/>
    </xf>
    <xf numFmtId="184" fontId="13" fillId="0" borderId="25" xfId="1" applyNumberFormat="1" applyFont="1" applyBorder="1" applyAlignment="1">
      <alignment horizontal="center" vertical="center" wrapText="1"/>
    </xf>
    <xf numFmtId="184" fontId="13" fillId="0" borderId="44" xfId="1" applyNumberFormat="1" applyFont="1" applyBorder="1" applyAlignment="1">
      <alignment vertical="center" wrapText="1"/>
    </xf>
    <xf numFmtId="184" fontId="13" fillId="0" borderId="45" xfId="1" applyNumberFormat="1" applyFont="1" applyBorder="1" applyAlignment="1">
      <alignment vertical="center" wrapText="1"/>
    </xf>
    <xf numFmtId="184" fontId="13" fillId="0" borderId="46" xfId="1" applyNumberFormat="1" applyFont="1" applyBorder="1" applyAlignment="1">
      <alignment vertical="center" wrapText="1"/>
    </xf>
    <xf numFmtId="184" fontId="13" fillId="7" borderId="39" xfId="0" applyNumberFormat="1" applyFont="1" applyFill="1" applyBorder="1" applyAlignment="1">
      <alignment horizontal="center" vertical="center"/>
    </xf>
    <xf numFmtId="184" fontId="13" fillId="7" borderId="40" xfId="0" applyNumberFormat="1" applyFont="1" applyFill="1" applyBorder="1" applyAlignment="1">
      <alignment horizontal="center" vertical="center"/>
    </xf>
    <xf numFmtId="184" fontId="13" fillId="7" borderId="56" xfId="0" applyNumberFormat="1" applyFont="1" applyFill="1" applyBorder="1" applyAlignment="1">
      <alignment horizontal="center" vertical="center"/>
    </xf>
    <xf numFmtId="184" fontId="13" fillId="7" borderId="26" xfId="0" applyNumberFormat="1" applyFont="1" applyFill="1" applyBorder="1" applyAlignment="1">
      <alignment horizontal="center" vertical="center"/>
    </xf>
    <xf numFmtId="184" fontId="13" fillId="7" borderId="1" xfId="0" applyNumberFormat="1" applyFont="1" applyFill="1" applyBorder="1" applyAlignment="1">
      <alignment horizontal="center" vertical="center"/>
    </xf>
    <xf numFmtId="184" fontId="13" fillId="7" borderId="13" xfId="0" applyNumberFormat="1" applyFont="1" applyFill="1" applyBorder="1" applyAlignment="1">
      <alignment horizontal="center" vertical="center"/>
    </xf>
    <xf numFmtId="184" fontId="13" fillId="7" borderId="20" xfId="0" applyNumberFormat="1" applyFont="1" applyFill="1" applyBorder="1" applyAlignment="1">
      <alignment horizontal="center" vertical="center"/>
    </xf>
    <xf numFmtId="184" fontId="13" fillId="7" borderId="21" xfId="0" applyNumberFormat="1" applyFont="1" applyFill="1" applyBorder="1" applyAlignment="1">
      <alignment horizontal="center" vertical="center"/>
    </xf>
    <xf numFmtId="184" fontId="13" fillId="7" borderId="54" xfId="0" applyNumberFormat="1" applyFont="1" applyFill="1" applyBorder="1" applyAlignment="1">
      <alignment horizontal="center" vertical="center"/>
    </xf>
    <xf numFmtId="184" fontId="13" fillId="0" borderId="13" xfId="1" applyNumberFormat="1" applyFont="1" applyBorder="1" applyAlignment="1">
      <alignment horizontal="center" vertical="center" wrapText="1"/>
    </xf>
    <xf numFmtId="184" fontId="13" fillId="0" borderId="1" xfId="1" applyNumberFormat="1" applyFont="1" applyBorder="1" applyAlignment="1">
      <alignment horizontal="center" vertical="center" wrapText="1"/>
    </xf>
    <xf numFmtId="184" fontId="13" fillId="0" borderId="27" xfId="1" applyNumberFormat="1" applyFont="1" applyBorder="1" applyAlignment="1">
      <alignment horizontal="center" vertical="center" wrapText="1"/>
    </xf>
    <xf numFmtId="184" fontId="13" fillId="0" borderId="23" xfId="1" applyNumberFormat="1" applyFont="1" applyBorder="1" applyAlignment="1">
      <alignment horizontal="center" vertical="center" wrapText="1"/>
    </xf>
    <xf numFmtId="184" fontId="13" fillId="0" borderId="24" xfId="1" applyNumberFormat="1" applyFont="1" applyBorder="1" applyAlignment="1">
      <alignment horizontal="center" vertical="center" wrapText="1"/>
    </xf>
    <xf numFmtId="0" fontId="13" fillId="0" borderId="71" xfId="1" applyFont="1" applyBorder="1" applyAlignment="1">
      <alignment horizontal="center" vertical="center" wrapText="1"/>
    </xf>
    <xf numFmtId="0" fontId="13" fillId="0" borderId="37" xfId="1" applyFont="1" applyBorder="1" applyAlignment="1">
      <alignment horizontal="center" vertical="center" wrapText="1"/>
    </xf>
    <xf numFmtId="0" fontId="13" fillId="0" borderId="66" xfId="1" applyFont="1" applyBorder="1" applyAlignment="1">
      <alignment horizontal="center" vertical="center" wrapText="1"/>
    </xf>
    <xf numFmtId="185" fontId="13" fillId="10" borderId="25" xfId="1" applyNumberFormat="1" applyFont="1" applyFill="1" applyBorder="1" applyAlignment="1">
      <alignment horizontal="center" vertical="center" wrapText="1"/>
    </xf>
    <xf numFmtId="185" fontId="13" fillId="10" borderId="38" xfId="1" applyNumberFormat="1" applyFont="1" applyFill="1" applyBorder="1" applyAlignment="1">
      <alignment horizontal="center" vertical="center" wrapText="1"/>
    </xf>
    <xf numFmtId="185" fontId="13" fillId="10" borderId="43" xfId="1" applyNumberFormat="1" applyFont="1" applyFill="1" applyBorder="1" applyAlignment="1">
      <alignment horizontal="center" vertical="center" wrapText="1"/>
    </xf>
    <xf numFmtId="185" fontId="13" fillId="10" borderId="23" xfId="1" applyNumberFormat="1" applyFont="1" applyFill="1" applyBorder="1" applyAlignment="1">
      <alignment horizontal="center" vertical="center" wrapText="1"/>
    </xf>
    <xf numFmtId="185" fontId="13" fillId="10" borderId="11" xfId="1" applyNumberFormat="1" applyFont="1" applyFill="1" applyBorder="1" applyAlignment="1">
      <alignment horizontal="center" vertical="center" wrapText="1"/>
    </xf>
    <xf numFmtId="185" fontId="13" fillId="10" borderId="7" xfId="1" applyNumberFormat="1" applyFont="1" applyFill="1" applyBorder="1" applyAlignment="1">
      <alignment horizontal="center" vertical="center" wrapText="1"/>
    </xf>
    <xf numFmtId="185" fontId="13" fillId="17" borderId="23" xfId="1" applyNumberFormat="1" applyFont="1" applyFill="1" applyBorder="1" applyAlignment="1">
      <alignment horizontal="center" vertical="center" wrapText="1"/>
    </xf>
    <xf numFmtId="185" fontId="13" fillId="17" borderId="11" xfId="1" applyNumberFormat="1" applyFont="1" applyFill="1" applyBorder="1" applyAlignment="1">
      <alignment horizontal="center" vertical="center" wrapText="1"/>
    </xf>
    <xf numFmtId="185" fontId="13" fillId="17" borderId="7" xfId="1" applyNumberFormat="1" applyFont="1" applyFill="1" applyBorder="1" applyAlignment="1">
      <alignment horizontal="center" vertical="center" wrapText="1"/>
    </xf>
    <xf numFmtId="185" fontId="13" fillId="13" borderId="23" xfId="1" applyNumberFormat="1" applyFont="1" applyFill="1" applyBorder="1" applyAlignment="1">
      <alignment horizontal="center" vertical="center" wrapText="1"/>
    </xf>
    <xf numFmtId="185" fontId="13" fillId="13" borderId="11" xfId="1" applyNumberFormat="1" applyFont="1" applyFill="1" applyBorder="1" applyAlignment="1">
      <alignment horizontal="center" vertical="center" wrapText="1"/>
    </xf>
    <xf numFmtId="185" fontId="13" fillId="13" borderId="7" xfId="1" applyNumberFormat="1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/>
    </xf>
    <xf numFmtId="185" fontId="13" fillId="13" borderId="24" xfId="1" applyNumberFormat="1" applyFont="1" applyFill="1" applyBorder="1" applyAlignment="1">
      <alignment horizontal="center" vertical="center" wrapText="1"/>
    </xf>
    <xf numFmtId="185" fontId="13" fillId="13" borderId="32" xfId="1" applyNumberFormat="1" applyFont="1" applyFill="1" applyBorder="1" applyAlignment="1">
      <alignment horizontal="center" vertical="center" wrapText="1"/>
    </xf>
    <xf numFmtId="185" fontId="13" fillId="13" borderId="10" xfId="1" applyNumberFormat="1" applyFont="1" applyFill="1" applyBorder="1" applyAlignment="1">
      <alignment horizontal="center" vertical="center" wrapText="1"/>
    </xf>
    <xf numFmtId="0" fontId="13" fillId="0" borderId="31" xfId="1" applyFont="1" applyBorder="1" applyAlignment="1">
      <alignment horizontal="center" vertical="center" wrapText="1"/>
    </xf>
    <xf numFmtId="185" fontId="13" fillId="0" borderId="25" xfId="1" applyNumberFormat="1" applyFont="1" applyBorder="1" applyAlignment="1">
      <alignment horizontal="center" vertical="center" wrapText="1"/>
    </xf>
    <xf numFmtId="185" fontId="13" fillId="0" borderId="38" xfId="1" applyNumberFormat="1" applyFont="1" applyBorder="1" applyAlignment="1">
      <alignment horizontal="center" vertical="center" wrapText="1"/>
    </xf>
    <xf numFmtId="185" fontId="13" fillId="0" borderId="23" xfId="1" applyNumberFormat="1" applyFont="1" applyBorder="1" applyAlignment="1">
      <alignment horizontal="center" vertical="center" wrapText="1"/>
    </xf>
    <xf numFmtId="185" fontId="13" fillId="0" borderId="11" xfId="1" applyNumberFormat="1" applyFont="1" applyBorder="1" applyAlignment="1">
      <alignment horizontal="center" vertical="center" wrapText="1"/>
    </xf>
    <xf numFmtId="185" fontId="13" fillId="13" borderId="9" xfId="1" applyNumberFormat="1" applyFont="1" applyFill="1" applyBorder="1" applyAlignment="1">
      <alignment horizontal="center" vertical="center" wrapText="1"/>
    </xf>
    <xf numFmtId="185" fontId="13" fillId="13" borderId="66" xfId="1" applyNumberFormat="1" applyFont="1" applyFill="1" applyBorder="1" applyAlignment="1">
      <alignment horizontal="center" vertical="center" wrapText="1"/>
    </xf>
    <xf numFmtId="185" fontId="13" fillId="13" borderId="2" xfId="1" applyNumberFormat="1" applyFont="1" applyFill="1" applyBorder="1" applyAlignment="1">
      <alignment horizontal="center" vertical="center" wrapText="1"/>
    </xf>
    <xf numFmtId="0" fontId="13" fillId="0" borderId="78" xfId="1" applyFont="1" applyBorder="1" applyAlignment="1">
      <alignment horizontal="center" vertical="center" wrapText="1"/>
    </xf>
    <xf numFmtId="0" fontId="13" fillId="0" borderId="79" xfId="1" applyFont="1" applyBorder="1" applyAlignment="1">
      <alignment horizontal="center" vertical="center" wrapText="1"/>
    </xf>
    <xf numFmtId="0" fontId="13" fillId="0" borderId="50" xfId="1" applyFont="1" applyBorder="1" applyAlignment="1">
      <alignment horizontal="center" vertical="center" wrapText="1"/>
    </xf>
    <xf numFmtId="184" fontId="13" fillId="10" borderId="25" xfId="1" applyNumberFormat="1" applyFont="1" applyFill="1" applyBorder="1" applyAlignment="1">
      <alignment horizontal="center" vertical="center" wrapText="1"/>
    </xf>
    <xf numFmtId="184" fontId="13" fillId="10" borderId="38" xfId="1" applyNumberFormat="1" applyFont="1" applyFill="1" applyBorder="1" applyAlignment="1">
      <alignment horizontal="center" vertical="center" wrapText="1"/>
    </xf>
    <xf numFmtId="184" fontId="13" fillId="10" borderId="26" xfId="1" applyNumberFormat="1" applyFont="1" applyFill="1" applyBorder="1" applyAlignment="1">
      <alignment horizontal="center" vertical="center" wrapText="1"/>
    </xf>
    <xf numFmtId="184" fontId="13" fillId="10" borderId="23" xfId="1" applyNumberFormat="1" applyFont="1" applyFill="1" applyBorder="1" applyAlignment="1">
      <alignment horizontal="center" vertical="center" wrapText="1"/>
    </xf>
    <xf numFmtId="184" fontId="13" fillId="10" borderId="11" xfId="1" applyNumberFormat="1" applyFont="1" applyFill="1" applyBorder="1" applyAlignment="1">
      <alignment horizontal="center" vertical="center" wrapText="1"/>
    </xf>
    <xf numFmtId="184" fontId="13" fillId="10" borderId="1" xfId="1" applyNumberFormat="1" applyFont="1" applyFill="1" applyBorder="1" applyAlignment="1">
      <alignment horizontal="center" vertical="center" wrapText="1"/>
    </xf>
    <xf numFmtId="184" fontId="13" fillId="17" borderId="23" xfId="1" applyNumberFormat="1" applyFont="1" applyFill="1" applyBorder="1" applyAlignment="1">
      <alignment horizontal="center" vertical="center" wrapText="1"/>
    </xf>
    <xf numFmtId="184" fontId="13" fillId="17" borderId="11" xfId="1" applyNumberFormat="1" applyFont="1" applyFill="1" applyBorder="1" applyAlignment="1">
      <alignment horizontal="center" vertical="center" wrapText="1"/>
    </xf>
    <xf numFmtId="184" fontId="13" fillId="17" borderId="1" xfId="1" applyNumberFormat="1" applyFont="1" applyFill="1" applyBorder="1" applyAlignment="1">
      <alignment horizontal="center" vertical="center" wrapText="1"/>
    </xf>
    <xf numFmtId="184" fontId="13" fillId="18" borderId="23" xfId="1" applyNumberFormat="1" applyFont="1" applyFill="1" applyBorder="1" applyAlignment="1">
      <alignment horizontal="center" vertical="center" wrapText="1"/>
    </xf>
    <xf numFmtId="184" fontId="13" fillId="18" borderId="11" xfId="1" applyNumberFormat="1" applyFont="1" applyFill="1" applyBorder="1" applyAlignment="1">
      <alignment horizontal="center" vertical="center" wrapText="1"/>
    </xf>
    <xf numFmtId="184" fontId="13" fillId="18" borderId="1" xfId="1" applyNumberFormat="1" applyFont="1" applyFill="1" applyBorder="1" applyAlignment="1">
      <alignment horizontal="center" vertical="center" wrapText="1"/>
    </xf>
    <xf numFmtId="184" fontId="13" fillId="0" borderId="6" xfId="1" applyNumberFormat="1" applyFont="1" applyBorder="1" applyAlignment="1">
      <alignment horizontal="center" vertical="center" wrapText="1"/>
    </xf>
    <xf numFmtId="184" fontId="13" fillId="0" borderId="8" xfId="1" applyNumberFormat="1" applyFont="1" applyBorder="1" applyAlignment="1">
      <alignment horizontal="center" vertical="center" wrapText="1"/>
    </xf>
    <xf numFmtId="184" fontId="13" fillId="0" borderId="12" xfId="1" applyNumberFormat="1" applyFont="1" applyBorder="1" applyAlignment="1">
      <alignment horizontal="center" vertical="center" wrapText="1"/>
    </xf>
    <xf numFmtId="184" fontId="13" fillId="0" borderId="11" xfId="1" applyNumberFormat="1" applyFont="1" applyBorder="1" applyAlignment="1">
      <alignment horizontal="center" vertical="center" wrapText="1"/>
    </xf>
    <xf numFmtId="185" fontId="13" fillId="0" borderId="56" xfId="0" applyNumberFormat="1" applyFont="1" applyBorder="1" applyAlignment="1">
      <alignment horizontal="center" vertical="center"/>
    </xf>
    <xf numFmtId="185" fontId="13" fillId="0" borderId="50" xfId="0" applyNumberFormat="1" applyFont="1" applyBorder="1" applyAlignment="1">
      <alignment horizontal="center" vertical="center"/>
    </xf>
    <xf numFmtId="184" fontId="13" fillId="0" borderId="32" xfId="1" applyNumberFormat="1" applyFont="1" applyBorder="1" applyAlignment="1">
      <alignment horizontal="center" vertical="center" wrapText="1"/>
    </xf>
    <xf numFmtId="184" fontId="13" fillId="18" borderId="6" xfId="1" applyNumberFormat="1" applyFont="1" applyFill="1" applyBorder="1" applyAlignment="1">
      <alignment horizontal="center" vertical="center" wrapText="1"/>
    </xf>
    <xf numFmtId="184" fontId="13" fillId="18" borderId="37" xfId="1" applyNumberFormat="1" applyFont="1" applyFill="1" applyBorder="1" applyAlignment="1">
      <alignment horizontal="center" vertical="center" wrapText="1"/>
    </xf>
    <xf numFmtId="185" fontId="13" fillId="0" borderId="13" xfId="0" applyNumberFormat="1" applyFont="1" applyBorder="1" applyAlignment="1">
      <alignment horizontal="center" vertical="center"/>
    </xf>
    <xf numFmtId="185" fontId="13" fillId="0" borderId="12" xfId="0" applyNumberFormat="1" applyFont="1" applyBorder="1" applyAlignment="1">
      <alignment horizontal="center" vertical="center"/>
    </xf>
    <xf numFmtId="185" fontId="13" fillId="0" borderId="54" xfId="0" applyNumberFormat="1" applyFont="1" applyBorder="1" applyAlignment="1">
      <alignment horizontal="center" vertical="center"/>
    </xf>
    <xf numFmtId="185" fontId="13" fillId="0" borderId="53" xfId="0" applyNumberFormat="1" applyFont="1" applyBorder="1" applyAlignment="1">
      <alignment horizontal="center" vertical="center"/>
    </xf>
    <xf numFmtId="185" fontId="13" fillId="0" borderId="36" xfId="0" applyNumberFormat="1" applyFont="1" applyBorder="1" applyAlignment="1">
      <alignment horizontal="center" vertical="center"/>
    </xf>
    <xf numFmtId="185" fontId="13" fillId="0" borderId="63" xfId="0" applyNumberFormat="1" applyFont="1" applyBorder="1" applyAlignment="1">
      <alignment horizontal="center" vertical="center"/>
    </xf>
    <xf numFmtId="185" fontId="13" fillId="0" borderId="52" xfId="0" applyNumberFormat="1" applyFont="1" applyBorder="1" applyAlignment="1">
      <alignment horizontal="center" vertical="center"/>
    </xf>
    <xf numFmtId="184" fontId="13" fillId="10" borderId="12" xfId="1" applyNumberFormat="1" applyFont="1" applyFill="1" applyBorder="1" applyAlignment="1">
      <alignment horizontal="center" vertical="center" wrapText="1"/>
    </xf>
    <xf numFmtId="184" fontId="13" fillId="10" borderId="8" xfId="1" applyNumberFormat="1" applyFont="1" applyFill="1" applyBorder="1" applyAlignment="1">
      <alignment horizontal="center" vertical="center" wrapText="1"/>
    </xf>
    <xf numFmtId="184" fontId="13" fillId="10" borderId="58" xfId="1" applyNumberFormat="1" applyFont="1" applyFill="1" applyBorder="1" applyAlignment="1">
      <alignment horizontal="center" vertical="center" wrapText="1"/>
    </xf>
    <xf numFmtId="184" fontId="13" fillId="18" borderId="31" xfId="1" applyNumberFormat="1" applyFont="1" applyFill="1" applyBorder="1" applyAlignment="1">
      <alignment horizontal="center" vertical="center" wrapText="1"/>
    </xf>
    <xf numFmtId="184" fontId="13" fillId="10" borderId="7" xfId="1" applyNumberFormat="1" applyFont="1" applyFill="1" applyBorder="1" applyAlignment="1">
      <alignment horizontal="center" vertical="center" wrapText="1"/>
    </xf>
    <xf numFmtId="184" fontId="13" fillId="17" borderId="7" xfId="1" applyNumberFormat="1" applyFont="1" applyFill="1" applyBorder="1" applyAlignment="1">
      <alignment horizontal="center" vertical="center" wrapText="1"/>
    </xf>
    <xf numFmtId="183" fontId="13" fillId="0" borderId="31" xfId="1" applyNumberFormat="1" applyFont="1" applyBorder="1" applyAlignment="1">
      <alignment horizontal="center" vertical="center" wrapText="1"/>
    </xf>
    <xf numFmtId="188" fontId="13" fillId="10" borderId="25" xfId="1" applyNumberFormat="1" applyFont="1" applyFill="1" applyBorder="1" applyAlignment="1">
      <alignment horizontal="center" vertical="center" wrapText="1"/>
    </xf>
    <xf numFmtId="188" fontId="13" fillId="10" borderId="38" xfId="1" applyNumberFormat="1" applyFont="1" applyFill="1" applyBorder="1" applyAlignment="1">
      <alignment horizontal="center" vertical="center" wrapText="1"/>
    </xf>
    <xf numFmtId="188" fontId="13" fillId="10" borderId="43" xfId="1" applyNumberFormat="1" applyFont="1" applyFill="1" applyBorder="1" applyAlignment="1">
      <alignment horizontal="center" vertical="center" wrapText="1"/>
    </xf>
    <xf numFmtId="184" fontId="13" fillId="0" borderId="58" xfId="1" applyNumberFormat="1" applyFont="1" applyBorder="1" applyAlignment="1">
      <alignment horizontal="center" vertical="center" wrapText="1"/>
    </xf>
    <xf numFmtId="184" fontId="13" fillId="10" borderId="43" xfId="1" applyNumberFormat="1" applyFont="1" applyFill="1" applyBorder="1" applyAlignment="1">
      <alignment horizontal="center" vertical="center" wrapText="1"/>
    </xf>
    <xf numFmtId="184" fontId="13" fillId="0" borderId="38" xfId="1" applyNumberFormat="1" applyFont="1" applyBorder="1" applyAlignment="1">
      <alignment horizontal="center" vertical="center" wrapText="1"/>
    </xf>
    <xf numFmtId="184" fontId="13" fillId="18" borderId="7" xfId="1" applyNumberFormat="1" applyFont="1" applyFill="1" applyBorder="1" applyAlignment="1">
      <alignment horizontal="center" vertical="center" wrapText="1"/>
    </xf>
    <xf numFmtId="184" fontId="13" fillId="0" borderId="62" xfId="1" applyNumberFormat="1" applyFont="1" applyBorder="1" applyAlignment="1">
      <alignment horizontal="center" vertical="center" wrapText="1"/>
    </xf>
    <xf numFmtId="184" fontId="13" fillId="0" borderId="57" xfId="1" applyNumberFormat="1" applyFont="1" applyBorder="1" applyAlignment="1">
      <alignment horizontal="center" vertical="center" wrapText="1"/>
    </xf>
    <xf numFmtId="184" fontId="13" fillId="0" borderId="63" xfId="1" applyNumberFormat="1" applyFont="1" applyBorder="1" applyAlignment="1">
      <alignment horizontal="center" vertical="center" wrapText="1"/>
    </xf>
    <xf numFmtId="188" fontId="13" fillId="10" borderId="23" xfId="1" applyNumberFormat="1" applyFont="1" applyFill="1" applyBorder="1" applyAlignment="1">
      <alignment horizontal="center" vertical="center" wrapText="1"/>
    </xf>
    <xf numFmtId="188" fontId="13" fillId="10" borderId="11" xfId="1" applyNumberFormat="1" applyFont="1" applyFill="1" applyBorder="1" applyAlignment="1">
      <alignment horizontal="center" vertical="center" wrapText="1"/>
    </xf>
    <xf numFmtId="188" fontId="13" fillId="10" borderId="7" xfId="1" applyNumberFormat="1" applyFont="1" applyFill="1" applyBorder="1" applyAlignment="1">
      <alignment horizontal="center" vertical="center" wrapText="1"/>
    </xf>
    <xf numFmtId="188" fontId="13" fillId="10" borderId="24" xfId="1" applyNumberFormat="1" applyFont="1" applyFill="1" applyBorder="1" applyAlignment="1">
      <alignment horizontal="center" vertical="center" wrapText="1"/>
    </xf>
    <xf numFmtId="188" fontId="13" fillId="10" borderId="32" xfId="1" applyNumberFormat="1" applyFont="1" applyFill="1" applyBorder="1" applyAlignment="1">
      <alignment horizontal="center" vertical="center" wrapText="1"/>
    </xf>
    <xf numFmtId="188" fontId="13" fillId="10" borderId="10" xfId="1" applyNumberFormat="1" applyFont="1" applyFill="1" applyBorder="1" applyAlignment="1">
      <alignment horizontal="center" vertical="center" wrapText="1"/>
    </xf>
    <xf numFmtId="184" fontId="13" fillId="0" borderId="5" xfId="1" applyNumberFormat="1" applyFont="1" applyBorder="1" applyAlignment="1">
      <alignment horizontal="center" vertical="center" wrapText="1"/>
    </xf>
    <xf numFmtId="184" fontId="13" fillId="0" borderId="19" xfId="1" applyNumberFormat="1" applyFont="1" applyBorder="1" applyAlignment="1">
      <alignment horizontal="center" vertical="center" wrapText="1"/>
    </xf>
    <xf numFmtId="189" fontId="13" fillId="10" borderId="25" xfId="1" applyNumberFormat="1" applyFont="1" applyFill="1" applyBorder="1" applyAlignment="1">
      <alignment horizontal="center" vertical="center" wrapText="1"/>
    </xf>
    <xf numFmtId="189" fontId="13" fillId="10" borderId="38" xfId="1" applyNumberFormat="1" applyFont="1" applyFill="1" applyBorder="1" applyAlignment="1">
      <alignment horizontal="center" vertical="center" wrapText="1"/>
    </xf>
    <xf numFmtId="189" fontId="13" fillId="10" borderId="43" xfId="1" applyNumberFormat="1" applyFont="1" applyFill="1" applyBorder="1" applyAlignment="1">
      <alignment horizontal="center" vertical="center" wrapText="1"/>
    </xf>
    <xf numFmtId="189" fontId="13" fillId="10" borderId="23" xfId="1" applyNumberFormat="1" applyFont="1" applyFill="1" applyBorder="1" applyAlignment="1">
      <alignment horizontal="center" vertical="center" wrapText="1"/>
    </xf>
    <xf numFmtId="189" fontId="13" fillId="10" borderId="11" xfId="1" applyNumberFormat="1" applyFont="1" applyFill="1" applyBorder="1" applyAlignment="1">
      <alignment horizontal="center" vertical="center" wrapText="1"/>
    </xf>
    <xf numFmtId="189" fontId="13" fillId="10" borderId="7" xfId="1" applyNumberFormat="1" applyFont="1" applyFill="1" applyBorder="1" applyAlignment="1">
      <alignment horizontal="center" vertical="center" wrapText="1"/>
    </xf>
    <xf numFmtId="176" fontId="13" fillId="0" borderId="23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189" fontId="13" fillId="10" borderId="24" xfId="1" applyNumberFormat="1" applyFont="1" applyFill="1" applyBorder="1" applyAlignment="1">
      <alignment horizontal="center" vertical="center" wrapText="1"/>
    </xf>
    <xf numFmtId="189" fontId="13" fillId="10" borderId="32" xfId="1" applyNumberFormat="1" applyFont="1" applyFill="1" applyBorder="1" applyAlignment="1">
      <alignment horizontal="center" vertical="center" wrapText="1"/>
    </xf>
    <xf numFmtId="189" fontId="13" fillId="10" borderId="10" xfId="1" applyNumberFormat="1" applyFont="1" applyFill="1" applyBorder="1" applyAlignment="1">
      <alignment horizontal="center" vertical="center" wrapText="1"/>
    </xf>
    <xf numFmtId="0" fontId="13" fillId="3" borderId="78" xfId="1" applyFont="1" applyFill="1" applyBorder="1" applyAlignment="1">
      <alignment horizontal="center" vertical="center" wrapText="1"/>
    </xf>
    <xf numFmtId="0" fontId="13" fillId="3" borderId="79" xfId="1" applyFont="1" applyFill="1" applyBorder="1" applyAlignment="1">
      <alignment horizontal="center" vertical="center" wrapText="1"/>
    </xf>
    <xf numFmtId="184" fontId="13" fillId="11" borderId="26" xfId="1" applyNumberFormat="1" applyFont="1" applyFill="1" applyBorder="1" applyAlignment="1">
      <alignment horizontal="center" vertical="center" wrapText="1"/>
    </xf>
    <xf numFmtId="184" fontId="13" fillId="11" borderId="25" xfId="1" applyNumberFormat="1" applyFont="1" applyFill="1" applyBorder="1" applyAlignment="1">
      <alignment horizontal="center" vertical="center" wrapText="1"/>
    </xf>
    <xf numFmtId="184" fontId="13" fillId="11" borderId="43" xfId="1" applyNumberFormat="1" applyFont="1" applyFill="1" applyBorder="1" applyAlignment="1">
      <alignment horizontal="center" vertical="center" wrapText="1"/>
    </xf>
    <xf numFmtId="184" fontId="13" fillId="11" borderId="38" xfId="1" applyNumberFormat="1" applyFont="1" applyFill="1" applyBorder="1" applyAlignment="1">
      <alignment horizontal="center" vertical="center" wrapText="1"/>
    </xf>
    <xf numFmtId="184" fontId="13" fillId="11" borderId="20" xfId="1" applyNumberFormat="1" applyFont="1" applyFill="1" applyBorder="1" applyAlignment="1">
      <alignment horizontal="center" vertical="center" wrapText="1"/>
    </xf>
    <xf numFmtId="184" fontId="25" fillId="11" borderId="33" xfId="1" applyNumberFormat="1" applyFont="1" applyFill="1" applyBorder="1" applyAlignment="1">
      <alignment horizontal="center" vertical="center" wrapText="1"/>
    </xf>
    <xf numFmtId="184" fontId="25" fillId="11" borderId="61" xfId="1" applyNumberFormat="1" applyFont="1" applyFill="1" applyBorder="1" applyAlignment="1">
      <alignment horizontal="center" vertical="center" wrapText="1"/>
    </xf>
    <xf numFmtId="184" fontId="13" fillId="11" borderId="78" xfId="0" applyNumberFormat="1" applyFont="1" applyFill="1" applyBorder="1">
      <alignment vertical="center"/>
    </xf>
    <xf numFmtId="184" fontId="13" fillId="11" borderId="52" xfId="0" applyNumberFormat="1" applyFont="1" applyFill="1" applyBorder="1">
      <alignment vertical="center"/>
    </xf>
    <xf numFmtId="184" fontId="13" fillId="11" borderId="72" xfId="0" applyNumberFormat="1" applyFont="1" applyFill="1" applyBorder="1">
      <alignment vertical="center"/>
    </xf>
    <xf numFmtId="184" fontId="13" fillId="11" borderId="12" xfId="0" applyNumberFormat="1" applyFont="1" applyFill="1" applyBorder="1">
      <alignment vertical="center"/>
    </xf>
    <xf numFmtId="184" fontId="13" fillId="11" borderId="62" xfId="0" applyNumberFormat="1" applyFont="1" applyFill="1" applyBorder="1">
      <alignment vertical="center"/>
    </xf>
    <xf numFmtId="184" fontId="13" fillId="11" borderId="53" xfId="0" applyNumberFormat="1" applyFont="1" applyFill="1" applyBorder="1">
      <alignment vertical="center"/>
    </xf>
    <xf numFmtId="0" fontId="13" fillId="11" borderId="14" xfId="1" applyFont="1" applyFill="1" applyBorder="1" applyAlignment="1">
      <alignment horizontal="center" vertical="center" wrapText="1"/>
    </xf>
    <xf numFmtId="0" fontId="13" fillId="11" borderId="19" xfId="1" applyFont="1" applyFill="1" applyBorder="1" applyAlignment="1">
      <alignment horizontal="center" vertical="center" wrapText="1"/>
    </xf>
    <xf numFmtId="0" fontId="13" fillId="11" borderId="5" xfId="1" applyFont="1" applyFill="1" applyBorder="1" applyAlignment="1">
      <alignment horizontal="center" vertical="center" wrapText="1"/>
    </xf>
    <xf numFmtId="0" fontId="13" fillId="11" borderId="23" xfId="1" applyFont="1" applyFill="1" applyBorder="1" applyAlignment="1">
      <alignment horizontal="center" vertical="center" wrapText="1"/>
    </xf>
    <xf numFmtId="0" fontId="13" fillId="11" borderId="7" xfId="1" applyFont="1" applyFill="1" applyBorder="1" applyAlignment="1">
      <alignment horizontal="center" vertical="center" wrapText="1"/>
    </xf>
    <xf numFmtId="0" fontId="13" fillId="11" borderId="11" xfId="1" applyFont="1" applyFill="1" applyBorder="1" applyAlignment="1">
      <alignment horizontal="center" vertical="center" wrapText="1"/>
    </xf>
    <xf numFmtId="0" fontId="13" fillId="11" borderId="1" xfId="1" applyFont="1" applyFill="1" applyBorder="1" applyAlignment="1">
      <alignment horizontal="center" vertical="center" wrapText="1"/>
    </xf>
    <xf numFmtId="184" fontId="13" fillId="11" borderId="1" xfId="1" applyNumberFormat="1" applyFont="1" applyFill="1" applyBorder="1" applyAlignment="1">
      <alignment horizontal="center" vertical="center" wrapText="1"/>
    </xf>
    <xf numFmtId="0" fontId="13" fillId="10" borderId="11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184" fontId="13" fillId="14" borderId="1" xfId="1" applyNumberFormat="1" applyFont="1" applyFill="1" applyBorder="1" applyAlignment="1">
      <alignment horizontal="center" vertical="center" wrapText="1"/>
    </xf>
    <xf numFmtId="184" fontId="13" fillId="14" borderId="23" xfId="1" applyNumberFormat="1" applyFont="1" applyFill="1" applyBorder="1" applyAlignment="1">
      <alignment horizontal="center" vertical="center" wrapText="1"/>
    </xf>
    <xf numFmtId="184" fontId="13" fillId="14" borderId="11" xfId="1" applyNumberFormat="1" applyFont="1" applyFill="1" applyBorder="1" applyAlignment="1">
      <alignment horizontal="center" vertical="center" wrapText="1"/>
    </xf>
    <xf numFmtId="0" fontId="13" fillId="3" borderId="50" xfId="1" applyFont="1" applyFill="1" applyBorder="1" applyAlignment="1">
      <alignment horizontal="center" vertical="center" wrapText="1"/>
    </xf>
    <xf numFmtId="0" fontId="13" fillId="18" borderId="11" xfId="1" applyFont="1" applyFill="1" applyBorder="1" applyAlignment="1">
      <alignment horizontal="center" vertical="center" wrapText="1"/>
    </xf>
    <xf numFmtId="0" fontId="13" fillId="18" borderId="1" xfId="1" applyFont="1" applyFill="1" applyBorder="1" applyAlignment="1">
      <alignment horizontal="center" vertical="center" wrapText="1"/>
    </xf>
    <xf numFmtId="184" fontId="13" fillId="19" borderId="1" xfId="1" applyNumberFormat="1" applyFont="1" applyFill="1" applyBorder="1" applyAlignment="1">
      <alignment horizontal="center" vertical="center" wrapText="1"/>
    </xf>
    <xf numFmtId="184" fontId="13" fillId="19" borderId="23" xfId="1" applyNumberFormat="1" applyFont="1" applyFill="1" applyBorder="1" applyAlignment="1">
      <alignment horizontal="center" vertical="center" wrapText="1"/>
    </xf>
    <xf numFmtId="184" fontId="13" fillId="19" borderId="11" xfId="1" applyNumberFormat="1" applyFont="1" applyFill="1" applyBorder="1" applyAlignment="1">
      <alignment horizontal="center" vertical="center" wrapText="1"/>
    </xf>
    <xf numFmtId="0" fontId="13" fillId="19" borderId="11" xfId="1" applyFont="1" applyFill="1" applyBorder="1" applyAlignment="1">
      <alignment horizontal="center" vertical="center" wrapText="1"/>
    </xf>
    <xf numFmtId="0" fontId="13" fillId="19" borderId="1" xfId="1" applyFont="1" applyFill="1" applyBorder="1" applyAlignment="1">
      <alignment horizontal="center" vertical="center" wrapText="1"/>
    </xf>
    <xf numFmtId="184" fontId="13" fillId="10" borderId="27" xfId="1" applyNumberFormat="1" applyFont="1" applyFill="1" applyBorder="1" applyAlignment="1">
      <alignment horizontal="center" vertical="center" wrapText="1"/>
    </xf>
    <xf numFmtId="184" fontId="13" fillId="10" borderId="13" xfId="1" applyNumberFormat="1" applyFont="1" applyFill="1" applyBorder="1" applyAlignment="1">
      <alignment horizontal="center" vertical="center" wrapText="1"/>
    </xf>
    <xf numFmtId="184" fontId="13" fillId="10" borderId="5" xfId="1" applyNumberFormat="1" applyFont="1" applyFill="1" applyBorder="1" applyAlignment="1">
      <alignment horizontal="center" vertical="center" wrapText="1"/>
    </xf>
    <xf numFmtId="184" fontId="13" fillId="10" borderId="19" xfId="1" applyNumberFormat="1" applyFont="1" applyFill="1" applyBorder="1" applyAlignment="1">
      <alignment horizontal="center" vertical="center" wrapText="1"/>
    </xf>
    <xf numFmtId="0" fontId="13" fillId="0" borderId="80" xfId="1" applyFont="1" applyBorder="1" applyAlignment="1">
      <alignment horizontal="center" vertical="center" wrapText="1"/>
    </xf>
    <xf numFmtId="0" fontId="13" fillId="0" borderId="81" xfId="1" applyFont="1" applyBorder="1" applyAlignment="1">
      <alignment horizontal="center" vertical="center" wrapText="1"/>
    </xf>
    <xf numFmtId="184" fontId="13" fillId="14" borderId="39" xfId="1" applyNumberFormat="1" applyFont="1" applyFill="1" applyBorder="1" applyAlignment="1">
      <alignment horizontal="center" vertical="center" wrapText="1"/>
    </xf>
    <xf numFmtId="184" fontId="13" fillId="14" borderId="26" xfId="1" applyNumberFormat="1" applyFont="1" applyFill="1" applyBorder="1" applyAlignment="1">
      <alignment horizontal="center" vertical="center" wrapText="1"/>
    </xf>
    <xf numFmtId="184" fontId="13" fillId="14" borderId="25" xfId="1" applyNumberFormat="1" applyFont="1" applyFill="1" applyBorder="1" applyAlignment="1">
      <alignment horizontal="center" vertical="center" wrapText="1"/>
    </xf>
    <xf numFmtId="184" fontId="13" fillId="14" borderId="43" xfId="1" applyNumberFormat="1" applyFont="1" applyFill="1" applyBorder="1" applyAlignment="1">
      <alignment horizontal="center" vertical="center" wrapText="1"/>
    </xf>
    <xf numFmtId="184" fontId="13" fillId="14" borderId="47" xfId="1" applyNumberFormat="1" applyFont="1" applyFill="1" applyBorder="1" applyAlignment="1">
      <alignment horizontal="center" vertical="center" wrapText="1"/>
    </xf>
    <xf numFmtId="186" fontId="13" fillId="10" borderId="25" xfId="1" applyNumberFormat="1" applyFont="1" applyFill="1" applyBorder="1" applyAlignment="1">
      <alignment horizontal="center" vertical="center" wrapText="1"/>
    </xf>
    <xf numFmtId="186" fontId="13" fillId="10" borderId="38" xfId="1" applyNumberFormat="1" applyFont="1" applyFill="1" applyBorder="1" applyAlignment="1">
      <alignment horizontal="center" vertical="center" wrapText="1"/>
    </xf>
    <xf numFmtId="186" fontId="13" fillId="10" borderId="8" xfId="1" applyNumberFormat="1" applyFont="1" applyFill="1" applyBorder="1" applyAlignment="1">
      <alignment horizontal="center" vertical="center" wrapText="1"/>
    </xf>
    <xf numFmtId="186" fontId="13" fillId="10" borderId="58" xfId="1" applyNumberFormat="1" applyFont="1" applyFill="1" applyBorder="1" applyAlignment="1">
      <alignment horizontal="center" vertical="center" wrapText="1"/>
    </xf>
    <xf numFmtId="184" fontId="13" fillId="0" borderId="0" xfId="1" applyNumberFormat="1" applyFont="1" applyAlignment="1">
      <alignment horizontal="center" vertical="center" wrapText="1"/>
    </xf>
    <xf numFmtId="184" fontId="13" fillId="0" borderId="34" xfId="1" applyNumberFormat="1" applyFont="1" applyBorder="1" applyAlignment="1">
      <alignment horizontal="center" vertical="center" wrapText="1"/>
    </xf>
    <xf numFmtId="184" fontId="13" fillId="0" borderId="35" xfId="1" applyNumberFormat="1" applyFont="1" applyBorder="1" applyAlignment="1">
      <alignment horizontal="center" vertical="center" wrapText="1"/>
    </xf>
    <xf numFmtId="184" fontId="13" fillId="10" borderId="24" xfId="1" applyNumberFormat="1" applyFont="1" applyFill="1" applyBorder="1" applyAlignment="1">
      <alignment horizontal="center" vertical="center" wrapText="1"/>
    </xf>
    <xf numFmtId="184" fontId="13" fillId="10" borderId="32" xfId="1" applyNumberFormat="1" applyFont="1" applyFill="1" applyBorder="1" applyAlignment="1">
      <alignment horizontal="center" vertical="center" wrapText="1"/>
    </xf>
    <xf numFmtId="184" fontId="13" fillId="0" borderId="2" xfId="1" applyNumberFormat="1" applyFont="1" applyBorder="1" applyAlignment="1">
      <alignment horizontal="center" vertical="center" wrapText="1"/>
    </xf>
    <xf numFmtId="184" fontId="13" fillId="10" borderId="65" xfId="1" applyNumberFormat="1" applyFont="1" applyFill="1" applyBorder="1" applyAlignment="1">
      <alignment horizontal="center" vertical="center" wrapText="1"/>
    </xf>
    <xf numFmtId="184" fontId="13" fillId="10" borderId="71" xfId="1" applyNumberFormat="1" applyFont="1" applyFill="1" applyBorder="1" applyAlignment="1">
      <alignment horizontal="center" vertical="center" wrapText="1"/>
    </xf>
    <xf numFmtId="0" fontId="13" fillId="0" borderId="79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184" fontId="13" fillId="10" borderId="26" xfId="0" applyNumberFormat="1" applyFont="1" applyFill="1" applyBorder="1" applyAlignment="1">
      <alignment horizontal="center" vertical="center"/>
    </xf>
    <xf numFmtId="184" fontId="13" fillId="0" borderId="59" xfId="0" applyNumberFormat="1" applyFont="1" applyBorder="1" applyAlignment="1">
      <alignment horizontal="center" vertical="center"/>
    </xf>
    <xf numFmtId="184" fontId="13" fillId="10" borderId="23" xfId="0" applyNumberFormat="1" applyFont="1" applyFill="1" applyBorder="1" applyAlignment="1">
      <alignment horizontal="center" vertical="center"/>
    </xf>
    <xf numFmtId="184" fontId="13" fillId="10" borderId="11" xfId="0" applyNumberFormat="1" applyFont="1" applyFill="1" applyBorder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184" fontId="13" fillId="14" borderId="23" xfId="0" applyNumberFormat="1" applyFont="1" applyFill="1" applyBorder="1" applyAlignment="1">
      <alignment horizontal="center" vertical="center"/>
    </xf>
    <xf numFmtId="184" fontId="13" fillId="14" borderId="11" xfId="0" applyNumberFormat="1" applyFont="1" applyFill="1" applyBorder="1" applyAlignment="1">
      <alignment horizontal="center" vertical="center"/>
    </xf>
    <xf numFmtId="184" fontId="13" fillId="14" borderId="0" xfId="0" applyNumberFormat="1" applyFont="1" applyFill="1" applyAlignment="1">
      <alignment horizontal="center" vertical="center"/>
    </xf>
    <xf numFmtId="184" fontId="13" fillId="18" borderId="24" xfId="0" applyNumberFormat="1" applyFont="1" applyFill="1" applyBorder="1" applyAlignment="1">
      <alignment horizontal="center" vertical="center"/>
    </xf>
    <xf numFmtId="184" fontId="13" fillId="18" borderId="32" xfId="0" applyNumberFormat="1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184" fontId="13" fillId="10" borderId="12" xfId="0" applyNumberFormat="1" applyFont="1" applyFill="1" applyBorder="1" applyAlignment="1">
      <alignment horizontal="center" vertical="center"/>
    </xf>
    <xf numFmtId="184" fontId="13" fillId="12" borderId="12" xfId="0" applyNumberFormat="1" applyFont="1" applyFill="1" applyBorder="1" applyAlignment="1">
      <alignment horizontal="center" vertical="center"/>
    </xf>
    <xf numFmtId="184" fontId="13" fillId="0" borderId="12" xfId="0" applyNumberFormat="1" applyFont="1" applyBorder="1" applyAlignment="1">
      <alignment horizontal="center" vertical="center"/>
    </xf>
    <xf numFmtId="184" fontId="13" fillId="0" borderId="51" xfId="0" applyNumberFormat="1" applyFont="1" applyBorder="1" applyAlignment="1">
      <alignment horizontal="center" vertical="center"/>
    </xf>
    <xf numFmtId="184" fontId="13" fillId="0" borderId="64" xfId="0" applyNumberFormat="1" applyFont="1" applyBorder="1" applyAlignment="1">
      <alignment horizontal="center" vertical="center"/>
    </xf>
    <xf numFmtId="184" fontId="13" fillId="12" borderId="23" xfId="0" applyNumberFormat="1" applyFont="1" applyFill="1" applyBorder="1" applyAlignment="1">
      <alignment horizontal="center" vertical="center"/>
    </xf>
    <xf numFmtId="184" fontId="13" fillId="12" borderId="11" xfId="0" applyNumberFormat="1" applyFont="1" applyFill="1" applyBorder="1" applyAlignment="1">
      <alignment horizontal="center" vertical="center"/>
    </xf>
    <xf numFmtId="184" fontId="13" fillId="0" borderId="23" xfId="0" applyNumberFormat="1" applyFont="1" applyBorder="1" applyAlignment="1">
      <alignment horizontal="center" vertical="center"/>
    </xf>
    <xf numFmtId="184" fontId="13" fillId="0" borderId="11" xfId="0" applyNumberFormat="1" applyFont="1" applyBorder="1" applyAlignment="1">
      <alignment horizontal="center" vertical="center"/>
    </xf>
    <xf numFmtId="184" fontId="13" fillId="10" borderId="24" xfId="0" applyNumberFormat="1" applyFont="1" applyFill="1" applyBorder="1" applyAlignment="1">
      <alignment horizontal="center" vertical="center"/>
    </xf>
    <xf numFmtId="184" fontId="13" fillId="10" borderId="32" xfId="0" applyNumberFormat="1" applyFont="1" applyFill="1" applyBorder="1" applyAlignment="1">
      <alignment horizontal="center" vertical="center"/>
    </xf>
    <xf numFmtId="184" fontId="13" fillId="12" borderId="24" xfId="0" applyNumberFormat="1" applyFont="1" applyFill="1" applyBorder="1" applyAlignment="1">
      <alignment horizontal="center" vertical="center"/>
    </xf>
    <xf numFmtId="184" fontId="13" fillId="12" borderId="32" xfId="0" applyNumberFormat="1" applyFont="1" applyFill="1" applyBorder="1" applyAlignment="1">
      <alignment horizontal="center" vertical="center"/>
    </xf>
    <xf numFmtId="184" fontId="13" fillId="0" borderId="24" xfId="0" applyNumberFormat="1" applyFont="1" applyBorder="1" applyAlignment="1">
      <alignment horizontal="center" vertical="center"/>
    </xf>
    <xf numFmtId="184" fontId="13" fillId="0" borderId="32" xfId="0" applyNumberFormat="1" applyFont="1" applyBorder="1" applyAlignment="1">
      <alignment horizontal="center" vertical="center"/>
    </xf>
    <xf numFmtId="184" fontId="13" fillId="0" borderId="5" xfId="0" applyNumberFormat="1" applyFont="1" applyBorder="1" applyAlignment="1">
      <alignment horizontal="center" vertical="center"/>
    </xf>
    <xf numFmtId="184" fontId="13" fillId="0" borderId="19" xfId="0" applyNumberFormat="1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 wrapText="1"/>
    </xf>
    <xf numFmtId="184" fontId="13" fillId="0" borderId="1" xfId="0" applyNumberFormat="1" applyFont="1" applyBorder="1" applyAlignment="1">
      <alignment horizontal="center" vertical="center"/>
    </xf>
    <xf numFmtId="184" fontId="13" fillId="0" borderId="26" xfId="0" applyNumberFormat="1" applyFont="1" applyBorder="1" applyAlignment="1">
      <alignment horizontal="center" vertical="center"/>
    </xf>
    <xf numFmtId="184" fontId="13" fillId="0" borderId="13" xfId="0" applyNumberFormat="1" applyFont="1" applyBorder="1" applyAlignment="1">
      <alignment horizontal="center" vertical="center"/>
    </xf>
    <xf numFmtId="184" fontId="13" fillId="10" borderId="1" xfId="0" applyNumberFormat="1" applyFont="1" applyFill="1" applyBorder="1" applyAlignment="1">
      <alignment horizontal="center" vertical="center"/>
    </xf>
    <xf numFmtId="184" fontId="13" fillId="0" borderId="38" xfId="0" applyNumberFormat="1" applyFont="1" applyBorder="1" applyAlignment="1">
      <alignment horizontal="center" vertical="center"/>
    </xf>
    <xf numFmtId="185" fontId="13" fillId="0" borderId="20" xfId="0" applyNumberFormat="1" applyFont="1" applyBorder="1" applyAlignment="1">
      <alignment horizontal="center" vertical="center"/>
    </xf>
    <xf numFmtId="185" fontId="13" fillId="0" borderId="21" xfId="0" applyNumberFormat="1" applyFont="1" applyBorder="1" applyAlignment="1">
      <alignment horizontal="center" vertical="center"/>
    </xf>
    <xf numFmtId="184" fontId="13" fillId="10" borderId="13" xfId="0" applyNumberFormat="1" applyFont="1" applyFill="1" applyBorder="1" applyAlignment="1">
      <alignment horizontal="center" vertical="center"/>
    </xf>
    <xf numFmtId="184" fontId="13" fillId="10" borderId="5" xfId="0" applyNumberFormat="1" applyFont="1" applyFill="1" applyBorder="1" applyAlignment="1">
      <alignment horizontal="center" vertical="center"/>
    </xf>
    <xf numFmtId="184" fontId="13" fillId="14" borderId="1" xfId="0" applyNumberFormat="1" applyFont="1" applyFill="1" applyBorder="1" applyAlignment="1">
      <alignment horizontal="center" vertical="center"/>
    </xf>
    <xf numFmtId="184" fontId="13" fillId="14" borderId="27" xfId="0" applyNumberFormat="1" applyFont="1" applyFill="1" applyBorder="1" applyAlignment="1">
      <alignment horizontal="center" vertical="center"/>
    </xf>
    <xf numFmtId="184" fontId="13" fillId="14" borderId="13" xfId="0" applyNumberFormat="1" applyFont="1" applyFill="1" applyBorder="1" applyAlignment="1">
      <alignment horizontal="center" vertical="center"/>
    </xf>
    <xf numFmtId="184" fontId="13" fillId="14" borderId="36" xfId="0" applyNumberFormat="1" applyFont="1" applyFill="1" applyBorder="1" applyAlignment="1">
      <alignment horizontal="center" vertical="center"/>
    </xf>
    <xf numFmtId="184" fontId="13" fillId="14" borderId="19" xfId="0" applyNumberFormat="1" applyFont="1" applyFill="1" applyBorder="1" applyAlignment="1">
      <alignment horizontal="center" vertical="center"/>
    </xf>
    <xf numFmtId="185" fontId="13" fillId="14" borderId="21" xfId="0" applyNumberFormat="1" applyFont="1" applyFill="1" applyBorder="1" applyAlignment="1">
      <alignment horizontal="center" vertical="center"/>
    </xf>
    <xf numFmtId="185" fontId="13" fillId="14" borderId="54" xfId="0" applyNumberFormat="1" applyFont="1" applyFill="1" applyBorder="1" applyAlignment="1">
      <alignment horizontal="center" vertical="center"/>
    </xf>
    <xf numFmtId="0" fontId="13" fillId="14" borderId="69" xfId="0" applyFont="1" applyFill="1" applyBorder="1" applyAlignment="1">
      <alignment horizontal="center" vertical="center"/>
    </xf>
    <xf numFmtId="184" fontId="13" fillId="14" borderId="24" xfId="0" applyNumberFormat="1" applyFont="1" applyFill="1" applyBorder="1" applyAlignment="1">
      <alignment horizontal="center" vertical="center"/>
    </xf>
    <xf numFmtId="184" fontId="13" fillId="14" borderId="12" xfId="0" applyNumberFormat="1" applyFont="1" applyFill="1" applyBorder="1" applyAlignment="1">
      <alignment horizontal="center" vertical="center"/>
    </xf>
    <xf numFmtId="185" fontId="13" fillId="14" borderId="22" xfId="0" applyNumberFormat="1" applyFont="1" applyFill="1" applyBorder="1" applyAlignment="1">
      <alignment horizontal="center" vertical="center"/>
    </xf>
    <xf numFmtId="184" fontId="13" fillId="14" borderId="31" xfId="0" applyNumberFormat="1" applyFont="1" applyFill="1" applyBorder="1" applyAlignment="1">
      <alignment horizontal="center" vertical="center"/>
    </xf>
    <xf numFmtId="188" fontId="13" fillId="2" borderId="26" xfId="0" applyNumberFormat="1" applyFont="1" applyFill="1" applyBorder="1" applyAlignment="1">
      <alignment horizontal="center" vertical="center"/>
    </xf>
    <xf numFmtId="184" fontId="13" fillId="12" borderId="26" xfId="0" applyNumberFormat="1" applyFont="1" applyFill="1" applyBorder="1" applyAlignment="1">
      <alignment horizontal="center" vertical="center"/>
    </xf>
    <xf numFmtId="188" fontId="13" fillId="2" borderId="1" xfId="0" applyNumberFormat="1" applyFont="1" applyFill="1" applyBorder="1" applyAlignment="1">
      <alignment horizontal="center" vertical="center"/>
    </xf>
    <xf numFmtId="184" fontId="13" fillId="12" borderId="1" xfId="0" applyNumberFormat="1" applyFont="1" applyFill="1" applyBorder="1" applyAlignment="1">
      <alignment horizontal="center" vertical="center"/>
    </xf>
    <xf numFmtId="188" fontId="13" fillId="14" borderId="27" xfId="0" applyNumberFormat="1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 wrapText="1"/>
    </xf>
    <xf numFmtId="0" fontId="13" fillId="3" borderId="82" xfId="0" applyFont="1" applyFill="1" applyBorder="1" applyAlignment="1">
      <alignment horizontal="center" vertical="center"/>
    </xf>
    <xf numFmtId="0" fontId="13" fillId="3" borderId="83" xfId="0" applyFont="1" applyFill="1" applyBorder="1" applyAlignment="1">
      <alignment horizontal="center" vertical="center"/>
    </xf>
    <xf numFmtId="188" fontId="13" fillId="10" borderId="26" xfId="0" applyNumberFormat="1" applyFont="1" applyFill="1" applyBorder="1" applyAlignment="1">
      <alignment horizontal="center" vertical="center"/>
    </xf>
    <xf numFmtId="188" fontId="13" fillId="10" borderId="23" xfId="0" applyNumberFormat="1" applyFont="1" applyFill="1" applyBorder="1" applyAlignment="1">
      <alignment horizontal="center" vertical="center"/>
    </xf>
    <xf numFmtId="188" fontId="13" fillId="10" borderId="11" xfId="0" applyNumberFormat="1" applyFont="1" applyFill="1" applyBorder="1" applyAlignment="1">
      <alignment horizontal="center" vertical="center"/>
    </xf>
    <xf numFmtId="188" fontId="13" fillId="10" borderId="24" xfId="0" applyNumberFormat="1" applyFont="1" applyFill="1" applyBorder="1" applyAlignment="1">
      <alignment horizontal="center" vertical="center"/>
    </xf>
    <xf numFmtId="188" fontId="13" fillId="10" borderId="32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40" xfId="0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188" fontId="13" fillId="21" borderId="24" xfId="0" applyNumberFormat="1" applyFont="1" applyFill="1" applyBorder="1" applyAlignment="1">
      <alignment horizontal="center" vertical="center"/>
    </xf>
    <xf numFmtId="188" fontId="13" fillId="21" borderId="3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36" fillId="0" borderId="13" xfId="1" applyBorder="1" applyAlignment="1">
      <alignment horizontal="center" vertical="center" wrapText="1"/>
    </xf>
    <xf numFmtId="0" fontId="36" fillId="0" borderId="31" xfId="1" applyBorder="1" applyAlignment="1">
      <alignment horizontal="center" vertical="center" wrapText="1"/>
    </xf>
    <xf numFmtId="0" fontId="36" fillId="0" borderId="12" xfId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6" fillId="0" borderId="1" xfId="1" applyBorder="1" applyAlignment="1">
      <alignment horizontal="center" vertical="center" wrapText="1"/>
    </xf>
    <xf numFmtId="180" fontId="36" fillId="0" borderId="1" xfId="1" applyNumberFormat="1" applyBorder="1" applyAlignment="1">
      <alignment horizontal="center" vertical="center" wrapText="1"/>
    </xf>
    <xf numFmtId="0" fontId="36" fillId="12" borderId="1" xfId="1" applyFill="1" applyBorder="1" applyAlignment="1">
      <alignment horizontal="center" vertical="center" wrapText="1"/>
    </xf>
    <xf numFmtId="0" fontId="36" fillId="12" borderId="13" xfId="1" applyFill="1" applyBorder="1" applyAlignment="1">
      <alignment horizontal="center" vertical="center" wrapText="1"/>
    </xf>
    <xf numFmtId="0" fontId="36" fillId="12" borderId="31" xfId="1" applyFill="1" applyBorder="1" applyAlignment="1">
      <alignment horizontal="center" vertical="center" wrapText="1"/>
    </xf>
    <xf numFmtId="0" fontId="36" fillId="0" borderId="1" xfId="1" applyBorder="1" applyAlignment="1">
      <alignment vertical="center" wrapText="1"/>
    </xf>
    <xf numFmtId="0" fontId="36" fillId="7" borderId="13" xfId="1" applyFill="1" applyBorder="1" applyAlignment="1">
      <alignment horizontal="center" vertical="center" wrapText="1"/>
    </xf>
    <xf numFmtId="0" fontId="36" fillId="7" borderId="31" xfId="1" applyFill="1" applyBorder="1" applyAlignment="1">
      <alignment horizontal="center" vertical="center" wrapText="1"/>
    </xf>
    <xf numFmtId="0" fontId="36" fillId="7" borderId="1" xfId="1" applyFill="1" applyBorder="1" applyAlignment="1">
      <alignment horizontal="center" vertical="center" wrapText="1"/>
    </xf>
    <xf numFmtId="0" fontId="36" fillId="12" borderId="1" xfId="1" applyFill="1" applyBorder="1" applyAlignment="1">
      <alignment vertical="center" wrapText="1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180" fontId="11" fillId="0" borderId="13" xfId="1" applyNumberFormat="1" applyFont="1" applyBorder="1" applyAlignment="1">
      <alignment horizontal="center" vertical="center" wrapText="1"/>
    </xf>
    <xf numFmtId="180" fontId="11" fillId="0" borderId="31" xfId="1" applyNumberFormat="1" applyFont="1" applyBorder="1" applyAlignment="1">
      <alignment horizontal="center" vertical="center" wrapText="1"/>
    </xf>
    <xf numFmtId="180" fontId="11" fillId="0" borderId="12" xfId="1" applyNumberFormat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58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26" fillId="0" borderId="2" xfId="0" applyFont="1" applyBorder="1" applyAlignment="1">
      <alignment horizontal="left" vertical="center"/>
    </xf>
    <xf numFmtId="0" fontId="36" fillId="0" borderId="39" xfId="1" applyBorder="1" applyAlignment="1">
      <alignment horizontal="center" vertical="center"/>
    </xf>
    <xf numFmtId="0" fontId="36" fillId="0" borderId="26" xfId="1" applyBorder="1" applyAlignment="1">
      <alignment horizontal="center" vertical="center"/>
    </xf>
    <xf numFmtId="0" fontId="11" fillId="0" borderId="40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/>
    </xf>
    <xf numFmtId="0" fontId="11" fillId="0" borderId="23" xfId="1" applyFont="1" applyBorder="1" applyAlignment="1">
      <alignment horizontal="center" vertical="center"/>
    </xf>
    <xf numFmtId="0" fontId="11" fillId="0" borderId="5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11" fillId="0" borderId="19" xfId="1" applyFont="1" applyBorder="1" applyAlignment="1">
      <alignment horizontal="left" vertical="center"/>
    </xf>
    <xf numFmtId="0" fontId="11" fillId="0" borderId="54" xfId="1" applyFont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0" fontId="11" fillId="0" borderId="12" xfId="1" applyFont="1" applyBorder="1" applyAlignment="1">
      <alignment horizontal="left" vertical="center"/>
    </xf>
    <xf numFmtId="0" fontId="11" fillId="0" borderId="40" xfId="1" applyFont="1" applyBorder="1" applyAlignment="1">
      <alignment horizontal="center" vertical="center" wrapText="1"/>
    </xf>
    <xf numFmtId="0" fontId="11" fillId="0" borderId="41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left" vertical="center"/>
    </xf>
    <xf numFmtId="0" fontId="26" fillId="0" borderId="5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4" fillId="0" borderId="0" xfId="2" applyFont="1" applyAlignment="1">
      <alignment horizontal="center" vertical="center"/>
    </xf>
    <xf numFmtId="0" fontId="36" fillId="0" borderId="0" xfId="2" applyAlignment="1">
      <alignment horizontal="center" vertical="center"/>
    </xf>
    <xf numFmtId="0" fontId="36" fillId="0" borderId="1" xfId="2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184" fontId="8" fillId="0" borderId="23" xfId="0" applyNumberFormat="1" applyFont="1" applyBorder="1" applyAlignment="1">
      <alignment horizontal="center" vertical="center"/>
    </xf>
    <xf numFmtId="178" fontId="8" fillId="0" borderId="23" xfId="0" applyNumberFormat="1" applyFont="1" applyBorder="1" applyAlignment="1">
      <alignment horizontal="center" vertical="center" wrapText="1"/>
    </xf>
    <xf numFmtId="178" fontId="8" fillId="0" borderId="11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8" fillId="0" borderId="84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77" fontId="14" fillId="0" borderId="28" xfId="0" applyNumberFormat="1" applyFont="1" applyBorder="1" applyAlignment="1">
      <alignment horizontal="center" vertical="center"/>
    </xf>
    <xf numFmtId="177" fontId="14" fillId="0" borderId="75" xfId="0" applyNumberFormat="1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84" xfId="0" applyFont="1" applyBorder="1" applyAlignment="1">
      <alignment horizontal="left" vertical="top" wrapText="1"/>
    </xf>
    <xf numFmtId="0" fontId="14" fillId="0" borderId="85" xfId="0" applyFont="1" applyBorder="1" applyAlignment="1">
      <alignment horizontal="left" vertical="top" wrapText="1"/>
    </xf>
    <xf numFmtId="0" fontId="14" fillId="0" borderId="86" xfId="0" applyFont="1" applyBorder="1" applyAlignment="1">
      <alignment horizontal="left" vertical="top" wrapText="1"/>
    </xf>
    <xf numFmtId="0" fontId="14" fillId="0" borderId="87" xfId="0" applyFont="1" applyBorder="1" applyAlignment="1">
      <alignment horizontal="left" vertical="top" wrapText="1"/>
    </xf>
    <xf numFmtId="0" fontId="14" fillId="0" borderId="90" xfId="0" applyFont="1" applyBorder="1" applyAlignment="1">
      <alignment horizontal="left" vertical="top" wrapText="1"/>
    </xf>
    <xf numFmtId="0" fontId="14" fillId="0" borderId="91" xfId="0" applyFont="1" applyBorder="1" applyAlignment="1">
      <alignment horizontal="left" vertical="top" wrapText="1"/>
    </xf>
    <xf numFmtId="0" fontId="14" fillId="0" borderId="92" xfId="0" applyFont="1" applyBorder="1" applyAlignment="1">
      <alignment horizontal="left" vertical="top" wrapText="1"/>
    </xf>
    <xf numFmtId="0" fontId="14" fillId="0" borderId="93" xfId="0" applyFont="1" applyBorder="1" applyAlignment="1">
      <alignment horizontal="left" vertical="top" wrapText="1"/>
    </xf>
    <xf numFmtId="0" fontId="6" fillId="0" borderId="7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 wrapText="1"/>
    </xf>
    <xf numFmtId="0" fontId="14" fillId="0" borderId="94" xfId="0" applyFont="1" applyBorder="1" applyAlignment="1">
      <alignment horizontal="center" vertical="center" wrapText="1"/>
    </xf>
    <xf numFmtId="0" fontId="14" fillId="0" borderId="9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30" fillId="0" borderId="0" xfId="0" applyFont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16" fillId="0" borderId="65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7" fontId="16" fillId="0" borderId="23" xfId="0" applyNumberFormat="1" applyFont="1" applyBorder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177" fontId="16" fillId="0" borderId="4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184" fontId="16" fillId="0" borderId="5" xfId="0" applyNumberFormat="1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0" fontId="16" fillId="0" borderId="15" xfId="0" applyFont="1" applyBorder="1" applyAlignment="1">
      <alignment horizontal="center" vertical="center" shrinkToFit="1"/>
    </xf>
    <xf numFmtId="0" fontId="16" fillId="0" borderId="58" xfId="0" applyFont="1" applyBorder="1" applyAlignment="1">
      <alignment horizontal="center" vertical="center" shrinkToFit="1"/>
    </xf>
    <xf numFmtId="0" fontId="1" fillId="0" borderId="4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8" fontId="16" fillId="0" borderId="1" xfId="0" applyNumberFormat="1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0" borderId="21" xfId="0" applyNumberForma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78" fontId="16" fillId="0" borderId="27" xfId="0" applyNumberFormat="1" applyFont="1" applyBorder="1" applyAlignment="1">
      <alignment horizontal="center" vertical="center"/>
    </xf>
    <xf numFmtId="178" fontId="16" fillId="0" borderId="27" xfId="0" applyNumberFormat="1" applyFont="1" applyBorder="1" applyAlignment="1">
      <alignment horizontal="center" vertical="center" wrapText="1"/>
    </xf>
    <xf numFmtId="178" fontId="0" fillId="0" borderId="27" xfId="0" applyNumberFormat="1" applyBorder="1" applyAlignment="1">
      <alignment horizontal="center" vertical="center" wrapText="1"/>
    </xf>
    <xf numFmtId="178" fontId="0" fillId="0" borderId="22" xfId="0" applyNumberFormat="1" applyBorder="1" applyAlignment="1">
      <alignment horizontal="center" vertical="center" wrapText="1"/>
    </xf>
    <xf numFmtId="0" fontId="1" fillId="0" borderId="80" xfId="0" applyFont="1" applyBorder="1" applyAlignment="1">
      <alignment horizontal="left" vertical="center" wrapText="1"/>
    </xf>
    <xf numFmtId="0" fontId="1" fillId="0" borderId="81" xfId="0" applyFont="1" applyBorder="1" applyAlignment="1">
      <alignment horizontal="left" vertical="center" wrapText="1"/>
    </xf>
    <xf numFmtId="0" fontId="1" fillId="0" borderId="97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0" fillId="0" borderId="69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184" fontId="1" fillId="0" borderId="26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84" fontId="1" fillId="0" borderId="25" xfId="0" applyNumberFormat="1" applyFont="1" applyBorder="1" applyAlignment="1">
      <alignment horizontal="center" vertical="center" shrinkToFit="1"/>
    </xf>
    <xf numFmtId="184" fontId="1" fillId="0" borderId="43" xfId="0" applyNumberFormat="1" applyFont="1" applyBorder="1" applyAlignment="1">
      <alignment horizontal="center" vertical="center" shrinkToFit="1"/>
    </xf>
    <xf numFmtId="184" fontId="1" fillId="0" borderId="38" xfId="0" applyNumberFormat="1" applyFont="1" applyBorder="1" applyAlignment="1">
      <alignment horizontal="center" vertical="center" shrinkToFit="1"/>
    </xf>
    <xf numFmtId="0" fontId="4" fillId="0" borderId="98" xfId="0" applyFont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179" fontId="0" fillId="0" borderId="101" xfId="0" applyNumberFormat="1" applyBorder="1" applyAlignment="1">
      <alignment horizontal="center" vertical="center"/>
    </xf>
    <xf numFmtId="179" fontId="0" fillId="0" borderId="102" xfId="0" applyNumberFormat="1" applyBorder="1" applyAlignment="1">
      <alignment horizontal="center" vertical="center"/>
    </xf>
    <xf numFmtId="182" fontId="0" fillId="0" borderId="86" xfId="0" applyNumberFormat="1" applyBorder="1" applyAlignment="1">
      <alignment horizontal="center" vertical="center"/>
    </xf>
    <xf numFmtId="182" fontId="0" fillId="0" borderId="85" xfId="0" applyNumberFormat="1" applyBorder="1" applyAlignment="1">
      <alignment horizontal="center" vertical="center"/>
    </xf>
    <xf numFmtId="178" fontId="0" fillId="0" borderId="103" xfId="0" applyNumberFormat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0" borderId="104" xfId="0" applyNumberFormat="1" applyBorder="1" applyAlignment="1">
      <alignment horizontal="center" vertical="center"/>
    </xf>
    <xf numFmtId="178" fontId="0" fillId="0" borderId="105" xfId="0" applyNumberFormat="1" applyBorder="1" applyAlignment="1">
      <alignment horizontal="center" vertical="center"/>
    </xf>
    <xf numFmtId="181" fontId="0" fillId="0" borderId="103" xfId="0" applyNumberFormat="1" applyBorder="1" applyAlignment="1">
      <alignment horizontal="center" vertical="center"/>
    </xf>
    <xf numFmtId="181" fontId="0" fillId="0" borderId="28" xfId="0" applyNumberFormat="1" applyBorder="1" applyAlignment="1">
      <alignment horizontal="center" vertical="center"/>
    </xf>
    <xf numFmtId="181" fontId="0" fillId="0" borderId="104" xfId="0" applyNumberFormat="1" applyBorder="1" applyAlignment="1">
      <alignment horizontal="center" vertical="center"/>
    </xf>
    <xf numFmtId="182" fontId="0" fillId="0" borderId="106" xfId="0" applyNumberFormat="1" applyBorder="1" applyAlignment="1">
      <alignment horizontal="center" vertical="center"/>
    </xf>
    <xf numFmtId="182" fontId="0" fillId="0" borderId="107" xfId="0" applyNumberFormat="1" applyBorder="1" applyAlignment="1">
      <alignment horizontal="center" vertical="center"/>
    </xf>
    <xf numFmtId="182" fontId="0" fillId="0" borderId="108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9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65" xfId="0" applyFont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1" fillId="0" borderId="33" xfId="0" applyFont="1" applyBorder="1" applyAlignment="1">
      <alignment horizontal="center" vertical="center" shrinkToFit="1"/>
    </xf>
    <xf numFmtId="0" fontId="1" fillId="0" borderId="96" xfId="0" applyFont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1" fillId="0" borderId="69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 shrinkToFit="1"/>
    </xf>
    <xf numFmtId="0" fontId="1" fillId="0" borderId="58" xfId="0" applyFont="1" applyBorder="1" applyAlignment="1">
      <alignment horizontal="center" vertical="center" shrinkToFit="1"/>
    </xf>
    <xf numFmtId="176" fontId="0" fillId="0" borderId="14" xfId="0" applyNumberFormat="1" applyBorder="1" applyAlignment="1">
      <alignment horizontal="center" vertical="center" shrinkToFit="1"/>
    </xf>
    <xf numFmtId="176" fontId="0" fillId="0" borderId="7" xfId="0" applyNumberForma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8" fontId="5" fillId="0" borderId="0" xfId="0" applyNumberFormat="1" applyFont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8" fontId="5" fillId="0" borderId="7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right" vertical="center" shrinkToFit="1"/>
    </xf>
    <xf numFmtId="0" fontId="5" fillId="0" borderId="7" xfId="0" applyFont="1" applyBorder="1" applyAlignment="1">
      <alignment horizontal="right" vertical="center" shrinkToFit="1"/>
    </xf>
    <xf numFmtId="184" fontId="1" fillId="0" borderId="96" xfId="0" applyNumberFormat="1" applyFont="1" applyBorder="1" applyAlignment="1">
      <alignment horizontal="center" vertical="center" shrinkToFit="1"/>
    </xf>
    <xf numFmtId="184" fontId="1" fillId="0" borderId="69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right" vertical="center" shrinkToFit="1"/>
    </xf>
    <xf numFmtId="0" fontId="5" fillId="0" borderId="14" xfId="0" applyFont="1" applyBorder="1" applyAlignment="1">
      <alignment horizontal="right" vertical="center" shrinkToFit="1"/>
    </xf>
    <xf numFmtId="0" fontId="1" fillId="0" borderId="70" xfId="0" applyFont="1" applyBorder="1" applyAlignment="1">
      <alignment horizontal="center" vertical="center" shrinkToFit="1"/>
    </xf>
    <xf numFmtId="0" fontId="1" fillId="0" borderId="66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right" vertical="center" shrinkToFit="1"/>
    </xf>
    <xf numFmtId="0" fontId="5" fillId="0" borderId="10" xfId="0" applyFont="1" applyBorder="1" applyAlignment="1">
      <alignment horizontal="right" vertical="center" shrinkToFit="1"/>
    </xf>
    <xf numFmtId="0" fontId="29" fillId="0" borderId="3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177" fontId="16" fillId="0" borderId="2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 wrapText="1"/>
    </xf>
    <xf numFmtId="179" fontId="0" fillId="0" borderId="110" xfId="0" applyNumberFormat="1" applyBorder="1" applyAlignment="1">
      <alignment horizontal="center" vertical="center"/>
    </xf>
    <xf numFmtId="180" fontId="0" fillId="0" borderId="111" xfId="0" applyNumberFormat="1" applyBorder="1" applyAlignment="1">
      <alignment horizontal="center" vertical="center"/>
    </xf>
    <xf numFmtId="180" fontId="0" fillId="0" borderId="112" xfId="0" applyNumberFormat="1" applyBorder="1" applyAlignment="1">
      <alignment horizontal="center" vertical="center"/>
    </xf>
    <xf numFmtId="180" fontId="0" fillId="0" borderId="113" xfId="0" applyNumberFormat="1" applyBorder="1" applyAlignment="1">
      <alignment horizontal="center" vertical="center"/>
    </xf>
    <xf numFmtId="180" fontId="0" fillId="0" borderId="114" xfId="0" applyNumberFormat="1" applyBorder="1" applyAlignment="1">
      <alignment horizontal="center" vertical="center"/>
    </xf>
    <xf numFmtId="180" fontId="0" fillId="0" borderId="115" xfId="0" applyNumberFormat="1" applyBorder="1" applyAlignment="1">
      <alignment horizontal="center" vertical="center"/>
    </xf>
    <xf numFmtId="0" fontId="1" fillId="0" borderId="78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58" fontId="1" fillId="0" borderId="96" xfId="0" applyNumberFormat="1" applyFont="1" applyBorder="1" applyAlignment="1">
      <alignment horizontal="center" vertical="center" shrinkToFit="1"/>
    </xf>
    <xf numFmtId="58" fontId="1" fillId="0" borderId="19" xfId="0" applyNumberFormat="1" applyFont="1" applyBorder="1" applyAlignment="1">
      <alignment horizontal="center" vertical="center" shrinkToFit="1"/>
    </xf>
    <xf numFmtId="58" fontId="1" fillId="0" borderId="69" xfId="0" applyNumberFormat="1" applyFont="1" applyBorder="1" applyAlignment="1">
      <alignment horizontal="center" vertical="center" shrinkToFit="1"/>
    </xf>
    <xf numFmtId="58" fontId="1" fillId="0" borderId="37" xfId="0" applyNumberFormat="1" applyFont="1" applyBorder="1" applyAlignment="1">
      <alignment horizontal="center" vertical="center" shrinkToFit="1"/>
    </xf>
    <xf numFmtId="58" fontId="1" fillId="0" borderId="77" xfId="0" applyNumberFormat="1" applyFont="1" applyBorder="1" applyAlignment="1">
      <alignment horizontal="center" vertical="center" shrinkToFit="1"/>
    </xf>
    <xf numFmtId="58" fontId="1" fillId="0" borderId="58" xfId="0" applyNumberFormat="1" applyFont="1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184" fontId="0" fillId="0" borderId="23" xfId="0" applyNumberForma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58" fontId="1" fillId="0" borderId="70" xfId="0" applyNumberFormat="1" applyFont="1" applyBorder="1" applyAlignment="1">
      <alignment horizontal="center" vertical="center" shrinkToFit="1"/>
    </xf>
    <xf numFmtId="58" fontId="1" fillId="0" borderId="66" xfId="0" applyNumberFormat="1" applyFont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92" fontId="0" fillId="0" borderId="1" xfId="0" applyNumberFormat="1" applyBorder="1" applyAlignment="1">
      <alignment horizontal="center" vertical="center"/>
    </xf>
    <xf numFmtId="191" fontId="0" fillId="0" borderId="27" xfId="0" applyNumberFormat="1" applyBorder="1" applyAlignment="1">
      <alignment horizontal="center" vertical="center"/>
    </xf>
    <xf numFmtId="191" fontId="0" fillId="0" borderId="22" xfId="0" applyNumberFormat="1" applyBorder="1" applyAlignment="1">
      <alignment horizontal="center" vertical="center"/>
    </xf>
    <xf numFmtId="178" fontId="17" fillId="0" borderId="7" xfId="0" applyNumberFormat="1" applyFont="1" applyBorder="1" applyAlignment="1">
      <alignment horizontal="center" vertical="center" shrinkToFi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1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114300</xdr:colOff>
      <xdr:row>37</xdr:row>
      <xdr:rowOff>76200</xdr:rowOff>
    </xdr:from>
    <xdr:to>
      <xdr:col>31</xdr:col>
      <xdr:colOff>38100</xdr:colOff>
      <xdr:row>41</xdr:row>
      <xdr:rowOff>0</xdr:rowOff>
    </xdr:to>
    <xdr:pic>
      <xdr:nvPicPr>
        <xdr:cNvPr id="2" name="그림 2" descr="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/>
        <a:stretch>
          <a:fillRect/>
        </a:stretch>
      </xdr:blipFill>
      <xdr:spPr>
        <a:xfrm>
          <a:off x="18326100" y="7077074"/>
          <a:ext cx="1495425" cy="609600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333375</xdr:colOff>
      <xdr:row>44</xdr:row>
      <xdr:rowOff>38100</xdr:rowOff>
    </xdr:from>
    <xdr:to>
      <xdr:col>11</xdr:col>
      <xdr:colOff>762000</xdr:colOff>
      <xdr:row>45</xdr:row>
      <xdr:rowOff>0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944100" y="12239625"/>
          <a:ext cx="428625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914400</xdr:colOff>
      <xdr:row>47</xdr:row>
      <xdr:rowOff>19050</xdr:rowOff>
    </xdr:from>
    <xdr:to>
      <xdr:col>9</xdr:col>
      <xdr:colOff>66675</xdr:colOff>
      <xdr:row>49</xdr:row>
      <xdr:rowOff>561975</xdr:rowOff>
    </xdr:to>
    <xdr:pic>
      <xdr:nvPicPr>
        <xdr:cNvPr id="5" name="그림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6762750" y="13011149"/>
          <a:ext cx="1057275" cy="1009650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19</xdr:row>
      <xdr:rowOff>228600</xdr:rowOff>
    </xdr:from>
    <xdr:to>
      <xdr:col>11</xdr:col>
      <xdr:colOff>333375</xdr:colOff>
      <xdr:row>21</xdr:row>
      <xdr:rowOff>0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 rot="314377">
          <a:off x="9324975" y="5524500"/>
          <a:ext cx="619125" cy="285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342899</xdr:colOff>
      <xdr:row>0</xdr:row>
      <xdr:rowOff>190500</xdr:rowOff>
    </xdr:from>
    <xdr:to>
      <xdr:col>19</xdr:col>
      <xdr:colOff>381000</xdr:colOff>
      <xdr:row>3</xdr:row>
      <xdr:rowOff>0</xdr:rowOff>
    </xdr:to>
    <xdr:pic>
      <xdr:nvPicPr>
        <xdr:cNvPr id="2" name="그림 2" descr="1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/>
        <a:stretch>
          <a:fillRect/>
        </a:stretch>
      </xdr:blipFill>
      <xdr:spPr>
        <a:xfrm>
          <a:off x="13515975" y="190500"/>
          <a:ext cx="3467100" cy="638175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/>
  </xdr:twoCellAnchor>
  <xdr:twoCellAnchor editAs="oneCell">
    <xdr:from>
      <xdr:col>14</xdr:col>
      <xdr:colOff>342899</xdr:colOff>
      <xdr:row>7</xdr:row>
      <xdr:rowOff>152400</xdr:rowOff>
    </xdr:from>
    <xdr:to>
      <xdr:col>16</xdr:col>
      <xdr:colOff>304800</xdr:colOff>
      <xdr:row>9</xdr:row>
      <xdr:rowOff>76200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3515975" y="981075"/>
          <a:ext cx="1333500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15</xdr:row>
      <xdr:rowOff>190500</xdr:rowOff>
    </xdr:from>
    <xdr:to>
      <xdr:col>9</xdr:col>
      <xdr:colOff>152400</xdr:colOff>
      <xdr:row>15</xdr:row>
      <xdr:rowOff>838200</xdr:rowOff>
    </xdr:to>
    <xdr:pic>
      <xdr:nvPicPr>
        <xdr:cNvPr id="2" name="그림 2" descr="1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/>
        <a:stretch>
          <a:fillRect/>
        </a:stretch>
      </xdr:blipFill>
      <xdr:spPr>
        <a:xfrm>
          <a:off x="114300" y="4029075"/>
          <a:ext cx="3429000" cy="647700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/>
  </xdr:twoCellAnchor>
  <xdr:twoCellAnchor editAs="oneCell">
    <xdr:from>
      <xdr:col>2</xdr:col>
      <xdr:colOff>228600</xdr:colOff>
      <xdr:row>18</xdr:row>
      <xdr:rowOff>152400</xdr:rowOff>
    </xdr:from>
    <xdr:to>
      <xdr:col>8</xdr:col>
      <xdr:colOff>190500</xdr:colOff>
      <xdr:row>18</xdr:row>
      <xdr:rowOff>381000</xdr:rowOff>
    </xdr:to>
    <xdr:pic>
      <xdr:nvPicPr>
        <xdr:cNvPr id="3" name="그림 3" descr="1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/>
        </a:blip>
        <a:srcRect/>
        <a:stretch>
          <a:fillRect/>
        </a:stretch>
      </xdr:blipFill>
      <xdr:spPr>
        <a:xfrm>
          <a:off x="1819275" y="5362575"/>
          <a:ext cx="1504950" cy="228600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/>
  </xdr:twoCellAnchor>
  <xdr:twoCellAnchor editAs="oneCell">
    <xdr:from>
      <xdr:col>22</xdr:col>
      <xdr:colOff>152400</xdr:colOff>
      <xdr:row>1</xdr:row>
      <xdr:rowOff>76200</xdr:rowOff>
    </xdr:from>
    <xdr:to>
      <xdr:col>24</xdr:col>
      <xdr:colOff>0</xdr:colOff>
      <xdr:row>1</xdr:row>
      <xdr:rowOff>304800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6886574" y="333375"/>
          <a:ext cx="609600" cy="2286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</xdr:row>
      <xdr:rowOff>38100</xdr:rowOff>
    </xdr:from>
    <xdr:to>
      <xdr:col>25</xdr:col>
      <xdr:colOff>180975</xdr:colOff>
      <xdr:row>1</xdr:row>
      <xdr:rowOff>304800</xdr:rowOff>
    </xdr:to>
    <xdr:pic>
      <xdr:nvPicPr>
        <xdr:cNvPr id="7" name="그림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7686674" y="295275"/>
          <a:ext cx="371475" cy="266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76200</xdr:colOff>
      <xdr:row>1</xdr:row>
      <xdr:rowOff>142875</xdr:rowOff>
    </xdr:from>
    <xdr:to>
      <xdr:col>15</xdr:col>
      <xdr:colOff>495299</xdr:colOff>
      <xdr:row>1</xdr:row>
      <xdr:rowOff>609600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467474" y="400050"/>
          <a:ext cx="942975" cy="466725"/>
        </a:xfrm>
        <a:prstGeom prst="rect">
          <a:avLst/>
        </a:prstGeom>
      </xdr:spPr>
    </xdr:pic>
    <xdr:clientData/>
  </xdr:twoCellAnchor>
  <xdr:twoCellAnchor editAs="oneCell">
    <xdr:from>
      <xdr:col>16</xdr:col>
      <xdr:colOff>228600</xdr:colOff>
      <xdr:row>1</xdr:row>
      <xdr:rowOff>142875</xdr:rowOff>
    </xdr:from>
    <xdr:to>
      <xdr:col>17</xdr:col>
      <xdr:colOff>342899</xdr:colOff>
      <xdr:row>1</xdr:row>
      <xdr:rowOff>609600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67625" y="400050"/>
          <a:ext cx="638175" cy="466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15</xdr:row>
      <xdr:rowOff>190500</xdr:rowOff>
    </xdr:from>
    <xdr:to>
      <xdr:col>9</xdr:col>
      <xdr:colOff>152400</xdr:colOff>
      <xdr:row>15</xdr:row>
      <xdr:rowOff>838200</xdr:rowOff>
    </xdr:to>
    <xdr:pic>
      <xdr:nvPicPr>
        <xdr:cNvPr id="2" name="그림 2" descr="1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/>
        <a:stretch>
          <a:fillRect/>
        </a:stretch>
      </xdr:blipFill>
      <xdr:spPr>
        <a:xfrm>
          <a:off x="114300" y="4000500"/>
          <a:ext cx="3429000" cy="647700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/>
  </xdr:twoCellAnchor>
  <xdr:twoCellAnchor editAs="oneCell">
    <xdr:from>
      <xdr:col>22</xdr:col>
      <xdr:colOff>152400</xdr:colOff>
      <xdr:row>1</xdr:row>
      <xdr:rowOff>76200</xdr:rowOff>
    </xdr:from>
    <xdr:to>
      <xdr:col>24</xdr:col>
      <xdr:colOff>0</xdr:colOff>
      <xdr:row>1</xdr:row>
      <xdr:rowOff>304800</xdr:rowOff>
    </xdr:to>
    <xdr:pic>
      <xdr:nvPicPr>
        <xdr:cNvPr id="4" name="그림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6962774" y="523875"/>
          <a:ext cx="609600" cy="2286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</xdr:row>
      <xdr:rowOff>38100</xdr:rowOff>
    </xdr:from>
    <xdr:to>
      <xdr:col>25</xdr:col>
      <xdr:colOff>180975</xdr:colOff>
      <xdr:row>1</xdr:row>
      <xdr:rowOff>304800</xdr:rowOff>
    </xdr:to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762874" y="485775"/>
          <a:ext cx="371475" cy="2667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17</xdr:row>
      <xdr:rowOff>381000</xdr:rowOff>
    </xdr:from>
    <xdr:to>
      <xdr:col>8</xdr:col>
      <xdr:colOff>190500</xdr:colOff>
      <xdr:row>17</xdr:row>
      <xdr:rowOff>1028700</xdr:rowOff>
    </xdr:to>
    <xdr:pic>
      <xdr:nvPicPr>
        <xdr:cNvPr id="10" name="그림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66700" y="5353050"/>
          <a:ext cx="3057525" cy="64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DD1\Data\IAQ\2026&#45380;\&#48516;&#49437;\HCHO\20260615%20HCHO\&#49884;&#54744;&#44592;&#47197;&#48512;(&#49892;&#45236;%20HCHO)-202606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DD1\Data\IAQ\2026&#45380;\&#48516;&#49437;\VOC\20260615%20voc\&#49884;&#54744;&#44592;&#47197;&#48512;(&#49892;&#45236;_VOC)-202606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험기록부"/>
      <sheetName val="시험기록부(시료채취 위치 및 시료번호)"/>
      <sheetName val="검량곡선"/>
      <sheetName val="분석결과시트"/>
    </sheetNames>
    <sheetDataSet>
      <sheetData sheetId="0"/>
      <sheetData sheetId="1"/>
      <sheetData sheetId="2"/>
      <sheetData sheetId="3">
        <row r="50">
          <cell r="D50">
            <v>28.577047358936689</v>
          </cell>
        </row>
        <row r="51">
          <cell r="D51">
            <v>26.227584291295798</v>
          </cell>
        </row>
        <row r="52">
          <cell r="D52">
            <v>7.7332291381190315</v>
          </cell>
        </row>
        <row r="53">
          <cell r="D53">
            <v>9.5305230731706221</v>
          </cell>
        </row>
        <row r="54">
          <cell r="D54">
            <v>14.303684869726011</v>
          </cell>
        </row>
        <row r="55">
          <cell r="D55">
            <v>16.788361941885899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험기록부1"/>
      <sheetName val="시험기록부(시료채취 위치 및 시료번호)"/>
      <sheetName val="검량곡선 자료"/>
      <sheetName val="분석결과시트"/>
    </sheetNames>
    <sheetDataSet>
      <sheetData sheetId="0"/>
      <sheetData sheetId="1"/>
      <sheetData sheetId="2"/>
      <sheetData sheetId="3">
        <row r="10">
          <cell r="X10">
            <v>12.599521994407901</v>
          </cell>
        </row>
        <row r="11">
          <cell r="X11">
            <v>7.8918895662732664</v>
          </cell>
        </row>
        <row r="12">
          <cell r="X12">
            <v>6.838889008883589</v>
          </cell>
        </row>
        <row r="13">
          <cell r="X13">
            <v>6.062206451351539</v>
          </cell>
        </row>
        <row r="14">
          <cell r="X14">
            <v>6.5804780239227458</v>
          </cell>
        </row>
        <row r="15">
          <cell r="X15">
            <v>9.7124184541498693</v>
          </cell>
        </row>
        <row r="51">
          <cell r="E51">
            <v>155.85074710853817</v>
          </cell>
          <cell r="I51">
            <v>17.332717692440752</v>
          </cell>
          <cell r="N51">
            <v>20.658002632658775</v>
          </cell>
          <cell r="S51">
            <v>5.393401591349658</v>
          </cell>
          <cell r="AH51">
            <v>1.0812463118396591</v>
          </cell>
        </row>
        <row r="52">
          <cell r="E52">
            <v>150.27510466198262</v>
          </cell>
          <cell r="I52">
            <v>27.17270338417822</v>
          </cell>
          <cell r="N52">
            <v>18.671660841084371</v>
          </cell>
          <cell r="S52">
            <v>3.8468345877681003</v>
          </cell>
          <cell r="AH52">
            <v>0.85996291814298997</v>
          </cell>
        </row>
        <row r="53">
          <cell r="E53">
            <v>126.04542176616226</v>
          </cell>
          <cell r="I53">
            <v>24.340938948458433</v>
          </cell>
          <cell r="N53">
            <v>7.5893834290400202</v>
          </cell>
          <cell r="S53">
            <v>2.8931103696728173</v>
          </cell>
          <cell r="AH53">
            <v>0.49660870559804471</v>
          </cell>
        </row>
        <row r="54">
          <cell r="E54">
            <v>114.63926240710406</v>
          </cell>
          <cell r="I54">
            <v>21.788879147195534</v>
          </cell>
          <cell r="N54">
            <v>7.8424756427226354</v>
          </cell>
          <cell r="S54">
            <v>2.780353065279999</v>
          </cell>
          <cell r="AH54">
            <v>1.0224146867263504</v>
          </cell>
        </row>
        <row r="55">
          <cell r="E55">
            <v>116.77156937706951</v>
          </cell>
          <cell r="I55">
            <v>23.019175332709118</v>
          </cell>
          <cell r="N55">
            <v>10.445622820514615</v>
          </cell>
          <cell r="S55">
            <v>3.209681993269129</v>
          </cell>
          <cell r="AH55">
            <v>0.94087966173324877</v>
          </cell>
        </row>
        <row r="56">
          <cell r="E56">
            <v>141.58957404341547</v>
          </cell>
          <cell r="I56">
            <v>25.933928230297024</v>
          </cell>
          <cell r="N56">
            <v>12.927162419312991</v>
          </cell>
          <cell r="S56">
            <v>5.2266940320574484</v>
          </cell>
          <cell r="AH56">
            <v>1.4751260030720252</v>
          </cell>
        </row>
      </sheetData>
    </sheetDataSet>
  </externalBook>
</externalLink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843A"/>
  </sheetPr>
  <dimension ref="A1:O19"/>
  <sheetViews>
    <sheetView view="pageBreakPreview" topLeftCell="A7" zoomScaleNormal="100" zoomScaleSheetLayoutView="100" workbookViewId="0">
      <selection activeCell="C5" sqref="C5:E5"/>
    </sheetView>
  </sheetViews>
  <sheetFormatPr defaultColWidth="9" defaultRowHeight="16.5"/>
  <cols>
    <col min="1" max="1" width="5.625" customWidth="1"/>
    <col min="2" max="2" width="13.5" customWidth="1"/>
    <col min="3" max="3" width="16" style="47" customWidth="1"/>
    <col min="4" max="4" width="16" style="106" customWidth="1"/>
    <col min="5" max="5" width="17.625" style="47" customWidth="1"/>
    <col min="6" max="6" width="16.875" style="47" customWidth="1"/>
    <col min="7" max="7" width="12" style="47" customWidth="1"/>
    <col min="8" max="8" width="11" style="47" customWidth="1"/>
    <col min="9" max="9" width="14.75" style="47" customWidth="1"/>
    <col min="10" max="10" width="13.125" style="47" customWidth="1"/>
    <col min="11" max="11" width="14.5" style="47" customWidth="1"/>
    <col min="12" max="13" width="9" bestFit="1" customWidth="1"/>
    <col min="14" max="14" width="30.75" customWidth="1"/>
    <col min="15" max="15" width="23.75" customWidth="1"/>
    <col min="16" max="17" width="14.375" customWidth="1"/>
    <col min="19" max="19" width="23.75" customWidth="1"/>
  </cols>
  <sheetData>
    <row r="1" spans="1:15" ht="60" customHeight="1">
      <c r="A1" s="534" t="s">
        <v>145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</row>
    <row r="2" spans="1:15" ht="58.5" customHeight="1">
      <c r="B2" s="39" t="s">
        <v>460</v>
      </c>
      <c r="C2" s="535" t="s">
        <v>479</v>
      </c>
      <c r="D2" s="536"/>
      <c r="E2" s="537"/>
      <c r="F2" s="538" t="s">
        <v>265</v>
      </c>
      <c r="G2" s="539"/>
      <c r="H2" s="535" t="s">
        <v>281</v>
      </c>
      <c r="I2" s="536"/>
      <c r="J2" s="536"/>
      <c r="K2" s="537"/>
      <c r="O2" t="s">
        <v>21</v>
      </c>
    </row>
    <row r="3" spans="1:15" ht="58.5" customHeight="1">
      <c r="B3" s="40" t="s">
        <v>276</v>
      </c>
      <c r="C3" s="535" t="s">
        <v>302</v>
      </c>
      <c r="D3" s="536"/>
      <c r="E3" s="536"/>
      <c r="F3" s="536"/>
      <c r="G3" s="535"/>
      <c r="H3" s="536"/>
      <c r="I3" s="536"/>
      <c r="J3" s="536"/>
      <c r="K3" s="537"/>
    </row>
    <row r="4" spans="1:15" ht="58.5" customHeight="1">
      <c r="B4" s="40" t="s">
        <v>147</v>
      </c>
      <c r="C4" s="540" t="s">
        <v>294</v>
      </c>
      <c r="D4" s="540"/>
      <c r="E4" s="540"/>
      <c r="F4" s="541" t="s">
        <v>204</v>
      </c>
      <c r="G4" s="542"/>
      <c r="H4" s="40" t="s">
        <v>211</v>
      </c>
      <c r="I4" s="29">
        <v>33</v>
      </c>
      <c r="J4" s="40" t="s">
        <v>269</v>
      </c>
      <c r="K4" s="30">
        <v>31</v>
      </c>
    </row>
    <row r="5" spans="1:15" ht="58.5" customHeight="1">
      <c r="B5" s="40" t="s">
        <v>94</v>
      </c>
      <c r="C5" s="540" t="s">
        <v>371</v>
      </c>
      <c r="D5" s="540"/>
      <c r="E5" s="540"/>
      <c r="F5" s="541" t="s">
        <v>130</v>
      </c>
      <c r="G5" s="542"/>
      <c r="H5" s="535" t="s">
        <v>388</v>
      </c>
      <c r="I5" s="536"/>
      <c r="J5" s="536"/>
      <c r="K5" s="537"/>
    </row>
    <row r="6" spans="1:15" ht="58.5" customHeight="1">
      <c r="B6" s="543" t="s">
        <v>89</v>
      </c>
      <c r="C6" s="41" t="s">
        <v>292</v>
      </c>
      <c r="D6" s="43" t="s">
        <v>268</v>
      </c>
      <c r="E6" s="201" t="s">
        <v>187</v>
      </c>
      <c r="F6" s="541" t="s">
        <v>283</v>
      </c>
      <c r="G6" s="542"/>
      <c r="H6" s="37">
        <v>125</v>
      </c>
      <c r="I6" s="40" t="s">
        <v>240</v>
      </c>
      <c r="J6" s="540" t="s">
        <v>220</v>
      </c>
      <c r="K6" s="540"/>
    </row>
    <row r="7" spans="1:15" ht="58.5" customHeight="1">
      <c r="B7" s="544"/>
      <c r="C7" s="40" t="s">
        <v>234</v>
      </c>
      <c r="D7" s="44" t="s">
        <v>268</v>
      </c>
      <c r="E7" s="37" t="s">
        <v>187</v>
      </c>
      <c r="F7" s="541" t="s">
        <v>283</v>
      </c>
      <c r="G7" s="542"/>
      <c r="H7" s="37">
        <v>125</v>
      </c>
      <c r="I7" s="40" t="s">
        <v>253</v>
      </c>
      <c r="J7" s="540">
        <v>3</v>
      </c>
      <c r="K7" s="540"/>
    </row>
    <row r="8" spans="1:15" ht="58.5" customHeight="1">
      <c r="B8" s="545"/>
      <c r="C8" s="42" t="s">
        <v>227</v>
      </c>
      <c r="D8" s="45" t="s">
        <v>268</v>
      </c>
      <c r="E8" s="38" t="s">
        <v>187</v>
      </c>
      <c r="F8" s="541" t="s">
        <v>283</v>
      </c>
      <c r="G8" s="542"/>
      <c r="H8" s="37" t="s">
        <v>187</v>
      </c>
      <c r="I8" s="40" t="s">
        <v>237</v>
      </c>
      <c r="J8" s="540">
        <v>38</v>
      </c>
      <c r="K8" s="540"/>
    </row>
    <row r="9" spans="1:15" ht="58.5" customHeight="1">
      <c r="B9" s="40" t="s">
        <v>78</v>
      </c>
      <c r="C9" s="40" t="s">
        <v>282</v>
      </c>
      <c r="D9" s="37" t="s">
        <v>279</v>
      </c>
      <c r="E9" s="40" t="s">
        <v>209</v>
      </c>
      <c r="F9" s="535" t="s">
        <v>279</v>
      </c>
      <c r="G9" s="537"/>
      <c r="H9" s="40" t="s">
        <v>263</v>
      </c>
      <c r="I9" s="540" t="s">
        <v>284</v>
      </c>
      <c r="J9" s="540"/>
      <c r="K9" s="540"/>
    </row>
    <row r="10" spans="1:15" ht="58.5" customHeight="1">
      <c r="B10" s="40" t="s">
        <v>444</v>
      </c>
      <c r="C10" s="40" t="s">
        <v>205</v>
      </c>
      <c r="D10" s="37">
        <v>1</v>
      </c>
      <c r="E10" s="40" t="s">
        <v>260</v>
      </c>
      <c r="F10" s="535" t="s">
        <v>187</v>
      </c>
      <c r="G10" s="537"/>
      <c r="H10" s="40" t="s">
        <v>182</v>
      </c>
      <c r="I10" s="37" t="s">
        <v>233</v>
      </c>
      <c r="J10" s="40" t="s">
        <v>81</v>
      </c>
      <c r="K10" s="37" t="s">
        <v>187</v>
      </c>
    </row>
    <row r="11" spans="1:15" ht="58.5" customHeight="1">
      <c r="B11" s="47"/>
      <c r="D11" s="47"/>
    </row>
    <row r="12" spans="1:15" ht="58.5" customHeight="1">
      <c r="A12" s="534" t="s">
        <v>299</v>
      </c>
      <c r="B12" s="534"/>
      <c r="C12" s="534"/>
      <c r="D12" s="534"/>
      <c r="E12" s="534"/>
      <c r="F12" s="534"/>
      <c r="G12" s="534"/>
      <c r="H12" s="534"/>
      <c r="I12" s="534"/>
      <c r="J12" s="534"/>
      <c r="K12" s="534"/>
    </row>
    <row r="13" spans="1:15" ht="58.5" customHeight="1">
      <c r="B13" s="40" t="s">
        <v>69</v>
      </c>
      <c r="C13" s="546" t="s">
        <v>457</v>
      </c>
      <c r="D13" s="540"/>
      <c r="E13" s="540"/>
      <c r="F13" s="547" t="s">
        <v>104</v>
      </c>
      <c r="G13" s="547"/>
      <c r="H13" s="547"/>
      <c r="I13" s="540" t="s">
        <v>380</v>
      </c>
      <c r="J13" s="540"/>
      <c r="K13" s="540"/>
    </row>
    <row r="14" spans="1:15" ht="58.5" customHeight="1">
      <c r="B14" s="40" t="s">
        <v>92</v>
      </c>
      <c r="C14" s="540" t="s">
        <v>327</v>
      </c>
      <c r="D14" s="540"/>
      <c r="E14" s="540"/>
      <c r="F14" s="540"/>
      <c r="G14" s="540"/>
      <c r="H14" s="540"/>
      <c r="I14" s="540"/>
      <c r="J14" s="540"/>
      <c r="K14" s="540"/>
    </row>
    <row r="15" spans="1:15" ht="58.5" customHeight="1">
      <c r="B15" s="40" t="s">
        <v>92</v>
      </c>
      <c r="C15" s="37" t="s">
        <v>285</v>
      </c>
      <c r="D15" s="540" t="s">
        <v>336</v>
      </c>
      <c r="E15" s="540"/>
      <c r="F15" s="547" t="s">
        <v>251</v>
      </c>
      <c r="G15" s="547"/>
      <c r="H15" s="547"/>
      <c r="I15" s="540" t="s">
        <v>250</v>
      </c>
      <c r="J15" s="540"/>
      <c r="K15" s="540"/>
    </row>
    <row r="16" spans="1:15" ht="58.5" customHeight="1">
      <c r="B16" s="543" t="s">
        <v>131</v>
      </c>
      <c r="C16" s="40" t="s">
        <v>219</v>
      </c>
      <c r="D16" s="40" t="s">
        <v>255</v>
      </c>
      <c r="E16" s="40" t="s">
        <v>230</v>
      </c>
      <c r="F16" s="40" t="s">
        <v>210</v>
      </c>
      <c r="G16" s="40" t="s">
        <v>225</v>
      </c>
      <c r="H16" s="40" t="s">
        <v>27</v>
      </c>
      <c r="I16" s="40" t="s">
        <v>30</v>
      </c>
      <c r="J16" s="40" t="s">
        <v>193</v>
      </c>
      <c r="K16" s="40" t="s">
        <v>100</v>
      </c>
    </row>
    <row r="17" spans="2:11" ht="58.5" customHeight="1">
      <c r="B17" s="545"/>
      <c r="C17" s="37">
        <v>27.2</v>
      </c>
      <c r="D17" s="37">
        <v>40.6</v>
      </c>
      <c r="E17" s="37">
        <v>1005.2</v>
      </c>
      <c r="F17" s="37">
        <v>51.2</v>
      </c>
      <c r="G17" s="37">
        <v>429</v>
      </c>
      <c r="H17" s="37">
        <v>26</v>
      </c>
      <c r="I17" s="37">
        <v>24</v>
      </c>
      <c r="J17" s="140">
        <v>5.3000000000000005E-2</v>
      </c>
      <c r="K17" s="37" t="s">
        <v>286</v>
      </c>
    </row>
    <row r="18" spans="2:11" ht="24.75" customHeight="1"/>
    <row r="19" spans="2:11" ht="24.75" customHeight="1"/>
  </sheetData>
  <mergeCells count="29">
    <mergeCell ref="C14:K14"/>
    <mergeCell ref="D15:E15"/>
    <mergeCell ref="F15:H15"/>
    <mergeCell ref="I15:K15"/>
    <mergeCell ref="B16:B17"/>
    <mergeCell ref="F9:G9"/>
    <mergeCell ref="I9:K9"/>
    <mergeCell ref="F10:G10"/>
    <mergeCell ref="A12:K12"/>
    <mergeCell ref="C13:E13"/>
    <mergeCell ref="F13:H13"/>
    <mergeCell ref="I13:K13"/>
    <mergeCell ref="B6:B8"/>
    <mergeCell ref="F6:G6"/>
    <mergeCell ref="J6:K6"/>
    <mergeCell ref="F7:G7"/>
    <mergeCell ref="J7:K7"/>
    <mergeCell ref="F8:G8"/>
    <mergeCell ref="J8:K8"/>
    <mergeCell ref="C4:E4"/>
    <mergeCell ref="F4:G4"/>
    <mergeCell ref="C5:E5"/>
    <mergeCell ref="F5:G5"/>
    <mergeCell ref="H5:K5"/>
    <mergeCell ref="A1:K1"/>
    <mergeCell ref="C2:E2"/>
    <mergeCell ref="F2:G2"/>
    <mergeCell ref="H2:K2"/>
    <mergeCell ref="C3:K3"/>
  </mergeCells>
  <phoneticPr fontId="37" type="noConversion"/>
  <pageMargins left="0.74805557727813721" right="0.74805557727813721" top="0.98430556058883667" bottom="0.98430556058883667" header="0.51138889789581299" footer="0.51138889789581299"/>
  <pageSetup paperSize="9" scale="52" fitToWidth="0" fitToHeight="0" orientation="portrait" r:id="rId1"/>
  <rowBreaks count="1" manualBreakCount="1">
    <brk id="18" max="1048575" man="1"/>
  </rowBreaks>
  <colBreaks count="1" manualBreakCount="1">
    <brk id="11" max="16383" man="1"/>
  </col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operator="equal" allowBlank="1" showInputMessage="1" showErrorMessage="1" xr:uid="{00000000-0002-0000-0000-000000000000}">
          <x14:formula1>
            <xm:f>'드롭다운 메뉴_지우지말것!'!$A$2:$A$4</xm:f>
          </x14:formula1>
          <xm:sqref>J6:K6</xm:sqref>
        </x14:dataValidation>
        <x14:dataValidation type="list" operator="equal" allowBlank="1" showInputMessage="1" showErrorMessage="1" xr:uid="{00000000-0002-0000-0000-000001000000}">
          <x14:formula1>
            <xm:f>'드롭다운 메뉴_지우지말것!'!$C$2:$C$4</xm:f>
          </x14:formula1>
          <xm:sqref>K17</xm:sqref>
        </x14:dataValidation>
        <x14:dataValidation type="list" operator="equal" allowBlank="1" showInputMessage="1" showErrorMessage="1" xr:uid="{00000000-0002-0000-0000-000002000000}">
          <x14:formula1>
            <xm:f>'드롭다운 메뉴_지우지말것!'!$B$2:$B$3</xm:f>
          </x14:formula1>
          <xm:sqref>D9 F9 I10</xm:sqref>
        </x14:dataValidation>
        <x14:dataValidation type="list" operator="equal" allowBlank="1" showInputMessage="1" showErrorMessage="1" xr:uid="{00000000-0002-0000-0000-000003000000}">
          <x14:formula1>
            <xm:f>'드롭다운 메뉴_지우지말것!'!$G$2:$G$6</xm:f>
          </x14:formula1>
          <xm:sqref>I15:K15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Q157"/>
  <sheetViews>
    <sheetView view="pageBreakPreview" topLeftCell="A70" zoomScaleNormal="100" zoomScaleSheetLayoutView="100" workbookViewId="0">
      <selection activeCell="I85" sqref="I85:J85"/>
    </sheetView>
  </sheetViews>
  <sheetFormatPr defaultColWidth="9" defaultRowHeight="12"/>
  <cols>
    <col min="1" max="1" width="16.5" style="148" customWidth="1"/>
    <col min="2" max="2" width="16.25" style="149" customWidth="1"/>
    <col min="3" max="3" width="16.625" style="149" customWidth="1"/>
    <col min="4" max="4" width="9.875" style="149" customWidth="1"/>
    <col min="5" max="5" width="7.75" style="149" customWidth="1"/>
    <col min="6" max="6" width="7.25" style="149" customWidth="1"/>
    <col min="7" max="11" width="5" style="148" customWidth="1"/>
    <col min="12" max="12" width="7.625" style="148" customWidth="1"/>
    <col min="13" max="14" width="5" style="148" customWidth="1"/>
    <col min="15" max="15" width="11" style="148" customWidth="1"/>
    <col min="16" max="16" width="13" style="148" customWidth="1"/>
    <col min="17" max="17" width="13" style="149" customWidth="1"/>
    <col min="18" max="18" width="14.75" style="150" bestFit="1" customWidth="1"/>
    <col min="19" max="19" width="12.5" style="150" bestFit="1" customWidth="1"/>
    <col min="20" max="20" width="10.875" style="150" customWidth="1"/>
    <col min="21" max="21" width="13.5" style="148" customWidth="1"/>
    <col min="22" max="22" width="4.25" style="148" customWidth="1"/>
    <col min="23" max="24" width="3.75" style="148" customWidth="1"/>
    <col min="25" max="25" width="6.375" style="148" customWidth="1"/>
    <col min="26" max="26" width="11.625" style="148" customWidth="1"/>
    <col min="27" max="29" width="3.75" style="148" customWidth="1"/>
    <col min="30" max="30" width="4.625" style="148" customWidth="1"/>
    <col min="31" max="32" width="8.5" style="148" customWidth="1"/>
    <col min="33" max="33" width="5.75" style="148" customWidth="1"/>
    <col min="34" max="34" width="1.125" style="148" customWidth="1"/>
    <col min="35" max="36" width="3.5" style="148" customWidth="1"/>
    <col min="37" max="37" width="5.75" style="148" customWidth="1"/>
    <col min="38" max="38" width="11.625" style="148" customWidth="1"/>
    <col min="39" max="39" width="11.5" style="148" bestFit="1" customWidth="1"/>
    <col min="40" max="40" width="10.875" style="148" bestFit="1" customWidth="1"/>
    <col min="41" max="16384" width="9" style="148"/>
  </cols>
  <sheetData>
    <row r="1" spans="1:21">
      <c r="A1" s="148" t="s">
        <v>273</v>
      </c>
      <c r="B1" s="149" t="s">
        <v>196</v>
      </c>
    </row>
    <row r="2" spans="1:21">
      <c r="A2" s="548" t="s">
        <v>167</v>
      </c>
      <c r="B2" s="551" t="s">
        <v>168</v>
      </c>
      <c r="C2" s="551"/>
      <c r="D2" s="552" t="s">
        <v>239</v>
      </c>
      <c r="E2" s="551" t="s">
        <v>126</v>
      </c>
      <c r="F2" s="551"/>
      <c r="G2" s="551"/>
      <c r="H2" s="551"/>
      <c r="I2" s="551"/>
      <c r="J2" s="551"/>
      <c r="K2" s="551"/>
      <c r="L2" s="551"/>
      <c r="M2" s="551"/>
      <c r="N2" s="555"/>
      <c r="O2" s="556" t="s">
        <v>48</v>
      </c>
      <c r="P2" s="303"/>
      <c r="Q2" s="206"/>
      <c r="R2" s="559" t="s">
        <v>218</v>
      </c>
      <c r="S2" s="562" t="s">
        <v>185</v>
      </c>
      <c r="T2" s="565" t="s">
        <v>183</v>
      </c>
    </row>
    <row r="3" spans="1:21">
      <c r="A3" s="549"/>
      <c r="B3" s="568" t="s">
        <v>141</v>
      </c>
      <c r="C3" s="568" t="s">
        <v>128</v>
      </c>
      <c r="D3" s="553"/>
      <c r="E3" s="569" t="s">
        <v>280</v>
      </c>
      <c r="F3" s="569"/>
      <c r="G3" s="569"/>
      <c r="H3" s="569"/>
      <c r="I3" s="569"/>
      <c r="J3" s="569"/>
      <c r="K3" s="569"/>
      <c r="L3" s="569"/>
      <c r="M3" s="569" t="s">
        <v>230</v>
      </c>
      <c r="N3" s="571"/>
      <c r="O3" s="557"/>
      <c r="P3" s="304"/>
      <c r="Q3" s="207"/>
      <c r="R3" s="560"/>
      <c r="S3" s="563"/>
      <c r="T3" s="566"/>
    </row>
    <row r="4" spans="1:21">
      <c r="A4" s="550"/>
      <c r="B4" s="554"/>
      <c r="C4" s="554"/>
      <c r="D4" s="554"/>
      <c r="E4" s="570"/>
      <c r="F4" s="570"/>
      <c r="G4" s="570"/>
      <c r="H4" s="570"/>
      <c r="I4" s="570"/>
      <c r="J4" s="570"/>
      <c r="K4" s="570"/>
      <c r="L4" s="570"/>
      <c r="M4" s="570"/>
      <c r="N4" s="572"/>
      <c r="O4" s="558"/>
      <c r="P4" s="305"/>
      <c r="Q4" s="208"/>
      <c r="R4" s="561"/>
      <c r="S4" s="564"/>
      <c r="T4" s="567"/>
    </row>
    <row r="5" spans="1:21" ht="12.4" customHeight="1">
      <c r="A5" s="573" t="s">
        <v>219</v>
      </c>
      <c r="B5" s="333" t="s">
        <v>469</v>
      </c>
      <c r="C5" s="333" t="s">
        <v>378</v>
      </c>
      <c r="D5" s="88">
        <v>3</v>
      </c>
      <c r="E5" s="576">
        <v>25.8</v>
      </c>
      <c r="F5" s="577"/>
      <c r="G5" s="576">
        <v>25.2</v>
      </c>
      <c r="H5" s="578"/>
      <c r="I5" s="577"/>
      <c r="J5" s="576">
        <v>25.5</v>
      </c>
      <c r="K5" s="578"/>
      <c r="L5" s="577"/>
      <c r="M5" s="576">
        <v>1004</v>
      </c>
      <c r="N5" s="577"/>
      <c r="O5" s="342" t="s">
        <v>480</v>
      </c>
      <c r="P5" s="218"/>
      <c r="Q5" s="218">
        <v>0</v>
      </c>
      <c r="R5" s="222">
        <f t="shared" ref="R5:R18" si="0">MIN(E5:L5)</f>
        <v>25.2</v>
      </c>
      <c r="S5" s="180">
        <f t="shared" ref="S5:S18" si="1">MAX(E5:L5)</f>
        <v>25.8</v>
      </c>
      <c r="T5" s="170">
        <f t="shared" ref="T5:T18" si="2">AVERAGE(E5:L5)</f>
        <v>25.5</v>
      </c>
    </row>
    <row r="6" spans="1:21">
      <c r="A6" s="574"/>
      <c r="B6" s="334" t="s">
        <v>172</v>
      </c>
      <c r="C6" s="334" t="s">
        <v>384</v>
      </c>
      <c r="D6" s="87">
        <v>3</v>
      </c>
      <c r="E6" s="579">
        <v>24.9</v>
      </c>
      <c r="F6" s="580"/>
      <c r="G6" s="579">
        <v>25.1</v>
      </c>
      <c r="H6" s="581"/>
      <c r="I6" s="580"/>
      <c r="J6" s="579">
        <v>25.3</v>
      </c>
      <c r="K6" s="581"/>
      <c r="L6" s="580"/>
      <c r="M6" s="579">
        <v>1004.3</v>
      </c>
      <c r="N6" s="580"/>
      <c r="O6" s="343"/>
      <c r="P6" s="212"/>
      <c r="Q6" s="212">
        <v>0</v>
      </c>
      <c r="R6" s="223">
        <f t="shared" si="0"/>
        <v>24.9</v>
      </c>
      <c r="S6" s="182">
        <f t="shared" si="1"/>
        <v>25.3</v>
      </c>
      <c r="T6" s="172">
        <f t="shared" si="2"/>
        <v>25.099999999999998</v>
      </c>
    </row>
    <row r="7" spans="1:21" ht="12.4" customHeight="1">
      <c r="A7" s="574"/>
      <c r="B7" s="334" t="s">
        <v>383</v>
      </c>
      <c r="C7" s="334" t="s">
        <v>370</v>
      </c>
      <c r="D7" s="91">
        <v>3</v>
      </c>
      <c r="E7" s="579">
        <v>26.2</v>
      </c>
      <c r="F7" s="580"/>
      <c r="G7" s="579">
        <v>25.7</v>
      </c>
      <c r="H7" s="581"/>
      <c r="I7" s="580"/>
      <c r="J7" s="579">
        <v>25.3</v>
      </c>
      <c r="K7" s="581"/>
      <c r="L7" s="580"/>
      <c r="M7" s="579">
        <v>1005.3</v>
      </c>
      <c r="N7" s="580"/>
      <c r="O7" s="343"/>
      <c r="P7" s="212"/>
      <c r="Q7" s="212" t="s">
        <v>187</v>
      </c>
      <c r="R7" s="223">
        <f t="shared" si="0"/>
        <v>25.3</v>
      </c>
      <c r="S7" s="182">
        <f t="shared" si="1"/>
        <v>26.2</v>
      </c>
      <c r="T7" s="172">
        <f t="shared" si="2"/>
        <v>25.733333333333334</v>
      </c>
    </row>
    <row r="8" spans="1:21">
      <c r="A8" s="574"/>
      <c r="B8" s="368"/>
      <c r="C8" s="368"/>
      <c r="D8" s="368">
        <v>3</v>
      </c>
      <c r="E8" s="582"/>
      <c r="F8" s="583"/>
      <c r="G8" s="582"/>
      <c r="H8" s="584"/>
      <c r="I8" s="583"/>
      <c r="J8" s="582"/>
      <c r="K8" s="584"/>
      <c r="L8" s="583"/>
      <c r="M8" s="582"/>
      <c r="N8" s="583"/>
      <c r="O8" s="369"/>
      <c r="P8" s="370"/>
      <c r="Q8" s="370" t="s">
        <v>187</v>
      </c>
      <c r="R8" s="371">
        <f t="shared" si="0"/>
        <v>0</v>
      </c>
      <c r="S8" s="372">
        <f t="shared" si="1"/>
        <v>0</v>
      </c>
      <c r="T8" s="373" t="e">
        <f t="shared" si="2"/>
        <v>#DIV/0!</v>
      </c>
      <c r="U8" s="374" t="s">
        <v>137</v>
      </c>
    </row>
    <row r="9" spans="1:21">
      <c r="A9" s="574"/>
      <c r="B9" s="347" t="s">
        <v>478</v>
      </c>
      <c r="C9" s="347" t="s">
        <v>382</v>
      </c>
      <c r="D9" s="347">
        <v>1</v>
      </c>
      <c r="E9" s="585">
        <v>26.6</v>
      </c>
      <c r="F9" s="586"/>
      <c r="G9" s="585"/>
      <c r="H9" s="587"/>
      <c r="I9" s="586"/>
      <c r="J9" s="585"/>
      <c r="K9" s="587"/>
      <c r="L9" s="586"/>
      <c r="M9" s="585">
        <v>1005.5</v>
      </c>
      <c r="N9" s="586"/>
      <c r="O9" s="348"/>
      <c r="P9" s="349"/>
      <c r="Q9" s="349">
        <v>0</v>
      </c>
      <c r="R9" s="350">
        <f t="shared" si="0"/>
        <v>26.6</v>
      </c>
      <c r="S9" s="351">
        <f t="shared" si="1"/>
        <v>26.6</v>
      </c>
      <c r="T9" s="352">
        <f t="shared" si="2"/>
        <v>26.6</v>
      </c>
      <c r="U9" s="588" t="s">
        <v>149</v>
      </c>
    </row>
    <row r="10" spans="1:21">
      <c r="A10" s="574"/>
      <c r="B10" s="347" t="s">
        <v>481</v>
      </c>
      <c r="C10" s="347" t="s">
        <v>374</v>
      </c>
      <c r="D10" s="347">
        <v>1</v>
      </c>
      <c r="E10" s="585">
        <v>25.4</v>
      </c>
      <c r="F10" s="586"/>
      <c r="G10" s="585"/>
      <c r="H10" s="587"/>
      <c r="I10" s="586"/>
      <c r="J10" s="585"/>
      <c r="K10" s="587"/>
      <c r="L10" s="586"/>
      <c r="M10" s="585">
        <v>1005.4</v>
      </c>
      <c r="N10" s="586"/>
      <c r="O10" s="348"/>
      <c r="P10" s="349"/>
      <c r="Q10" s="349">
        <v>0</v>
      </c>
      <c r="R10" s="353">
        <f t="shared" si="0"/>
        <v>25.4</v>
      </c>
      <c r="S10" s="353">
        <f t="shared" si="1"/>
        <v>25.4</v>
      </c>
      <c r="T10" s="353">
        <f t="shared" si="2"/>
        <v>25.4</v>
      </c>
      <c r="U10" s="588"/>
    </row>
    <row r="11" spans="1:21">
      <c r="A11" s="575"/>
      <c r="B11" s="354" t="s">
        <v>106</v>
      </c>
      <c r="C11" s="354" t="s">
        <v>373</v>
      </c>
      <c r="D11" s="354">
        <v>1</v>
      </c>
      <c r="E11" s="589">
        <v>24.3</v>
      </c>
      <c r="F11" s="590"/>
      <c r="G11" s="589"/>
      <c r="H11" s="591"/>
      <c r="I11" s="590"/>
      <c r="J11" s="589"/>
      <c r="K11" s="591"/>
      <c r="L11" s="590"/>
      <c r="M11" s="589">
        <v>1005.7</v>
      </c>
      <c r="N11" s="590"/>
      <c r="O11" s="355"/>
      <c r="P11" s="356"/>
      <c r="Q11" s="356" t="s">
        <v>187</v>
      </c>
      <c r="R11" s="357">
        <f t="shared" si="0"/>
        <v>24.3</v>
      </c>
      <c r="S11" s="358">
        <f t="shared" si="1"/>
        <v>24.3</v>
      </c>
      <c r="T11" s="359">
        <f t="shared" si="2"/>
        <v>24.3</v>
      </c>
      <c r="U11" s="588"/>
    </row>
    <row r="12" spans="1:21" ht="12.4" customHeight="1">
      <c r="A12" s="592" t="s">
        <v>255</v>
      </c>
      <c r="B12" s="332" t="str">
        <f>B5</f>
        <v>5층 2-11반</v>
      </c>
      <c r="C12" s="332" t="str">
        <f>C5</f>
        <v>14:02 ~ 14:12</v>
      </c>
      <c r="D12" s="91">
        <v>3</v>
      </c>
      <c r="E12" s="576">
        <v>40.47</v>
      </c>
      <c r="F12" s="577"/>
      <c r="G12" s="576">
        <v>41.1</v>
      </c>
      <c r="H12" s="578"/>
      <c r="I12" s="577"/>
      <c r="J12" s="576">
        <v>42.6</v>
      </c>
      <c r="K12" s="578"/>
      <c r="L12" s="577"/>
      <c r="M12" s="593" t="s">
        <v>187</v>
      </c>
      <c r="N12" s="594"/>
      <c r="O12" s="345" t="str">
        <f>O5</f>
        <v>KEH-KW-01</v>
      </c>
      <c r="P12" s="117"/>
      <c r="Q12" s="117"/>
      <c r="R12" s="222">
        <f t="shared" si="0"/>
        <v>40.47</v>
      </c>
      <c r="S12" s="180">
        <f t="shared" si="1"/>
        <v>42.6</v>
      </c>
      <c r="T12" s="170">
        <f t="shared" si="2"/>
        <v>41.389999999999993</v>
      </c>
    </row>
    <row r="13" spans="1:21">
      <c r="A13" s="592"/>
      <c r="B13" s="332" t="str">
        <f t="shared" ref="B13:C13" si="3">B6</f>
        <v>4층 2-4반</v>
      </c>
      <c r="C13" s="332" t="str">
        <f t="shared" si="3"/>
        <v>14:13 ~ 14:23</v>
      </c>
      <c r="D13" s="87">
        <v>3</v>
      </c>
      <c r="E13" s="579">
        <v>46.9</v>
      </c>
      <c r="F13" s="580"/>
      <c r="G13" s="579">
        <v>44.8</v>
      </c>
      <c r="H13" s="581"/>
      <c r="I13" s="580"/>
      <c r="J13" s="579">
        <v>45.3</v>
      </c>
      <c r="K13" s="581"/>
      <c r="L13" s="580"/>
      <c r="M13" s="595" t="s">
        <v>187</v>
      </c>
      <c r="N13" s="596"/>
      <c r="O13" s="346"/>
      <c r="P13" s="118"/>
      <c r="Q13" s="118"/>
      <c r="R13" s="223">
        <f t="shared" si="0"/>
        <v>44.8</v>
      </c>
      <c r="S13" s="182">
        <f t="shared" si="1"/>
        <v>46.9</v>
      </c>
      <c r="T13" s="172">
        <f t="shared" si="2"/>
        <v>45.666666666666664</v>
      </c>
    </row>
    <row r="14" spans="1:21" ht="24">
      <c r="A14" s="592"/>
      <c r="B14" s="332" t="str">
        <f t="shared" ref="B14:C14" si="4">B7</f>
        <v>1층 (도제)회계실무실습실</v>
      </c>
      <c r="C14" s="332" t="str">
        <f t="shared" si="4"/>
        <v>15:00 ~ 15:10</v>
      </c>
      <c r="D14" s="87">
        <v>3</v>
      </c>
      <c r="E14" s="579">
        <v>50.6</v>
      </c>
      <c r="F14" s="580"/>
      <c r="G14" s="579">
        <v>52.8</v>
      </c>
      <c r="H14" s="581"/>
      <c r="I14" s="580"/>
      <c r="J14" s="579">
        <v>51.7</v>
      </c>
      <c r="K14" s="581"/>
      <c r="L14" s="580"/>
      <c r="M14" s="595" t="s">
        <v>187</v>
      </c>
      <c r="N14" s="596"/>
      <c r="O14" s="346"/>
      <c r="P14" s="118"/>
      <c r="Q14" s="118"/>
      <c r="R14" s="223">
        <f t="shared" si="0"/>
        <v>50.6</v>
      </c>
      <c r="S14" s="182">
        <f t="shared" si="1"/>
        <v>52.8</v>
      </c>
      <c r="T14" s="172">
        <f t="shared" si="2"/>
        <v>51.70000000000001</v>
      </c>
    </row>
    <row r="15" spans="1:21">
      <c r="A15" s="592"/>
      <c r="B15" s="375">
        <f>B8</f>
        <v>0</v>
      </c>
      <c r="C15" s="375">
        <f>C8</f>
        <v>0</v>
      </c>
      <c r="D15" s="368">
        <v>3</v>
      </c>
      <c r="E15" s="582"/>
      <c r="F15" s="583"/>
      <c r="G15" s="582"/>
      <c r="H15" s="584"/>
      <c r="I15" s="583"/>
      <c r="J15" s="582"/>
      <c r="K15" s="584"/>
      <c r="L15" s="583"/>
      <c r="M15" s="582" t="s">
        <v>187</v>
      </c>
      <c r="N15" s="583"/>
      <c r="O15" s="376"/>
      <c r="P15" s="377"/>
      <c r="Q15" s="377"/>
      <c r="R15" s="371">
        <f t="shared" si="0"/>
        <v>0</v>
      </c>
      <c r="S15" s="372">
        <f t="shared" si="1"/>
        <v>0</v>
      </c>
      <c r="T15" s="373" t="e">
        <f t="shared" si="2"/>
        <v>#DIV/0!</v>
      </c>
      <c r="U15" s="374" t="s">
        <v>137</v>
      </c>
    </row>
    <row r="16" spans="1:21">
      <c r="A16" s="592"/>
      <c r="B16" s="347" t="str">
        <f>B9</f>
        <v>1층 1-12반</v>
      </c>
      <c r="C16" s="347" t="str">
        <f>C9</f>
        <v>13:12 ~ 14:12</v>
      </c>
      <c r="D16" s="347">
        <v>1</v>
      </c>
      <c r="E16" s="585">
        <v>45.2</v>
      </c>
      <c r="F16" s="586"/>
      <c r="G16" s="585"/>
      <c r="H16" s="587"/>
      <c r="I16" s="586"/>
      <c r="J16" s="585"/>
      <c r="K16" s="587"/>
      <c r="L16" s="586"/>
      <c r="M16" s="585" t="s">
        <v>187</v>
      </c>
      <c r="N16" s="586"/>
      <c r="O16" s="361"/>
      <c r="P16" s="362"/>
      <c r="Q16" s="362"/>
      <c r="R16" s="363">
        <f t="shared" si="0"/>
        <v>45.2</v>
      </c>
      <c r="S16" s="364">
        <f t="shared" si="1"/>
        <v>45.2</v>
      </c>
      <c r="T16" s="365">
        <f t="shared" si="2"/>
        <v>45.2</v>
      </c>
      <c r="U16" s="588" t="s">
        <v>149</v>
      </c>
    </row>
    <row r="17" spans="1:21">
      <c r="A17" s="592"/>
      <c r="B17" s="360" t="str">
        <f t="shared" ref="B17:C17" si="5">B10</f>
        <v>2층 2-12반</v>
      </c>
      <c r="C17" s="360" t="str">
        <f t="shared" si="5"/>
        <v>14:05 ~ 15:05</v>
      </c>
      <c r="D17" s="366">
        <v>1</v>
      </c>
      <c r="E17" s="585">
        <v>48.2</v>
      </c>
      <c r="F17" s="586"/>
      <c r="G17" s="585"/>
      <c r="H17" s="587"/>
      <c r="I17" s="586"/>
      <c r="J17" s="585"/>
      <c r="K17" s="587"/>
      <c r="L17" s="586"/>
      <c r="M17" s="585" t="s">
        <v>187</v>
      </c>
      <c r="N17" s="586"/>
      <c r="O17" s="361"/>
      <c r="P17" s="362"/>
      <c r="Q17" s="362"/>
      <c r="R17" s="363">
        <f t="shared" si="0"/>
        <v>48.2</v>
      </c>
      <c r="S17" s="364">
        <f t="shared" si="1"/>
        <v>48.2</v>
      </c>
      <c r="T17" s="365">
        <f t="shared" si="2"/>
        <v>48.2</v>
      </c>
      <c r="U17" s="588"/>
    </row>
    <row r="18" spans="1:21">
      <c r="A18" s="341"/>
      <c r="B18" s="460" t="str">
        <f t="shared" ref="B18:C18" si="6">B11</f>
        <v>1층 스포티존</v>
      </c>
      <c r="C18" s="460" t="str">
        <f t="shared" si="6"/>
        <v>13:00 ~ 14:00</v>
      </c>
      <c r="D18" s="366">
        <v>1</v>
      </c>
      <c r="E18" s="597">
        <v>40</v>
      </c>
      <c r="F18" s="598"/>
      <c r="G18" s="597"/>
      <c r="H18" s="599"/>
      <c r="I18" s="598"/>
      <c r="J18" s="597"/>
      <c r="K18" s="599"/>
      <c r="L18" s="598"/>
      <c r="M18" s="597" t="s">
        <v>187</v>
      </c>
      <c r="N18" s="598"/>
      <c r="O18" s="367"/>
      <c r="P18" s="362"/>
      <c r="Q18" s="362"/>
      <c r="R18" s="363">
        <f t="shared" si="0"/>
        <v>40</v>
      </c>
      <c r="S18" s="364">
        <f t="shared" si="1"/>
        <v>40</v>
      </c>
      <c r="T18" s="365">
        <f t="shared" si="2"/>
        <v>40</v>
      </c>
      <c r="U18" s="588"/>
    </row>
    <row r="19" spans="1:21">
      <c r="A19" s="600" t="s">
        <v>37</v>
      </c>
      <c r="B19" s="332" t="str">
        <f>B5</f>
        <v>5층 2-11반</v>
      </c>
      <c r="C19" s="332" t="str">
        <f>C5</f>
        <v>14:02 ~ 14:12</v>
      </c>
      <c r="D19" s="88">
        <v>5</v>
      </c>
      <c r="E19" s="603">
        <v>11</v>
      </c>
      <c r="F19" s="604"/>
      <c r="G19" s="605">
        <v>13</v>
      </c>
      <c r="H19" s="605"/>
      <c r="I19" s="605">
        <v>12</v>
      </c>
      <c r="J19" s="605"/>
      <c r="K19" s="603">
        <v>11</v>
      </c>
      <c r="L19" s="604"/>
      <c r="M19" s="603">
        <v>12</v>
      </c>
      <c r="N19" s="604"/>
      <c r="O19" s="342" t="str">
        <f>O12</f>
        <v>KEH-KW-01</v>
      </c>
      <c r="P19" s="112"/>
      <c r="Q19" s="112">
        <v>0</v>
      </c>
      <c r="R19" s="222">
        <f>MIN(E19:N19)</f>
        <v>11</v>
      </c>
      <c r="S19" s="180">
        <f>MAX(E19:N19)</f>
        <v>13</v>
      </c>
      <c r="T19" s="170">
        <f>AVERAGE(E19:N19)</f>
        <v>11.8</v>
      </c>
    </row>
    <row r="20" spans="1:21">
      <c r="A20" s="601"/>
      <c r="B20" s="332" t="str">
        <f t="shared" ref="B20:C20" si="7">B6</f>
        <v>4층 2-4반</v>
      </c>
      <c r="C20" s="332" t="str">
        <f t="shared" si="7"/>
        <v>14:13 ~ 14:23</v>
      </c>
      <c r="D20" s="87">
        <v>5</v>
      </c>
      <c r="E20" s="606">
        <v>18</v>
      </c>
      <c r="F20" s="607"/>
      <c r="G20" s="608">
        <v>17</v>
      </c>
      <c r="H20" s="608"/>
      <c r="I20" s="608">
        <v>16</v>
      </c>
      <c r="J20" s="608"/>
      <c r="K20" s="606">
        <v>16</v>
      </c>
      <c r="L20" s="607"/>
      <c r="M20" s="606">
        <v>17</v>
      </c>
      <c r="N20" s="607"/>
      <c r="O20" s="343"/>
      <c r="P20" s="113"/>
      <c r="Q20" s="113">
        <v>0</v>
      </c>
      <c r="R20" s="223">
        <f>MIN(E20:N20)</f>
        <v>16</v>
      </c>
      <c r="S20" s="182">
        <f>MAX(E20:N20)</f>
        <v>18</v>
      </c>
      <c r="T20" s="172">
        <f>AVERAGE(E20:N20)</f>
        <v>16.8</v>
      </c>
    </row>
    <row r="21" spans="1:21" ht="24">
      <c r="A21" s="600"/>
      <c r="B21" s="332" t="str">
        <f t="shared" ref="B21:C21" si="8">B7</f>
        <v>1층 (도제)회계실무실습실</v>
      </c>
      <c r="C21" s="332" t="str">
        <f t="shared" si="8"/>
        <v>15:00 ~ 15:10</v>
      </c>
      <c r="D21" s="92">
        <v>5</v>
      </c>
      <c r="E21" s="606">
        <v>15</v>
      </c>
      <c r="F21" s="607"/>
      <c r="G21" s="608">
        <v>14</v>
      </c>
      <c r="H21" s="608"/>
      <c r="I21" s="608">
        <v>13</v>
      </c>
      <c r="J21" s="608"/>
      <c r="K21" s="606">
        <v>14</v>
      </c>
      <c r="L21" s="607"/>
      <c r="M21" s="606">
        <v>15</v>
      </c>
      <c r="N21" s="607"/>
      <c r="O21" s="343"/>
      <c r="P21" s="113"/>
      <c r="Q21" s="113"/>
      <c r="R21" s="223">
        <f>MIN(E21:N21)</f>
        <v>13</v>
      </c>
      <c r="S21" s="182">
        <f>MAX(E21:N21)</f>
        <v>15</v>
      </c>
      <c r="T21" s="172">
        <f>AVERAGE(E21:N21)</f>
        <v>14.2</v>
      </c>
    </row>
    <row r="22" spans="1:21" ht="16.5" customHeight="1">
      <c r="A22" s="600"/>
      <c r="B22" s="368">
        <f>B8</f>
        <v>0</v>
      </c>
      <c r="C22" s="368">
        <f>C8</f>
        <v>0</v>
      </c>
      <c r="D22" s="378">
        <v>5</v>
      </c>
      <c r="E22" s="609"/>
      <c r="F22" s="610"/>
      <c r="G22" s="611"/>
      <c r="H22" s="611"/>
      <c r="I22" s="611"/>
      <c r="J22" s="611"/>
      <c r="K22" s="609"/>
      <c r="L22" s="610"/>
      <c r="M22" s="609"/>
      <c r="N22" s="610"/>
      <c r="O22" s="369"/>
      <c r="P22" s="379"/>
      <c r="Q22" s="379"/>
      <c r="R22" s="371">
        <f>MIN(E22:N22)</f>
        <v>0</v>
      </c>
      <c r="S22" s="372">
        <f>MAX(E22:N22)</f>
        <v>0</v>
      </c>
      <c r="T22" s="373" t="e">
        <f>AVERAGE(E22:N22)</f>
        <v>#DIV/0!</v>
      </c>
      <c r="U22" s="374" t="s">
        <v>137</v>
      </c>
    </row>
    <row r="23" spans="1:21">
      <c r="A23" s="600"/>
      <c r="B23" s="387" t="s">
        <v>78</v>
      </c>
      <c r="C23" s="388" t="s">
        <v>385</v>
      </c>
      <c r="D23" s="389">
        <v>5</v>
      </c>
      <c r="E23" s="612">
        <v>18</v>
      </c>
      <c r="F23" s="613"/>
      <c r="G23" s="614">
        <v>17</v>
      </c>
      <c r="H23" s="614"/>
      <c r="I23" s="614">
        <v>15</v>
      </c>
      <c r="J23" s="614"/>
      <c r="K23" s="612">
        <v>14</v>
      </c>
      <c r="L23" s="613"/>
      <c r="M23" s="612">
        <v>15</v>
      </c>
      <c r="N23" s="613"/>
      <c r="O23" s="390"/>
      <c r="P23" s="391"/>
      <c r="Q23" s="391"/>
      <c r="R23" s="392">
        <f>MIN(E23:N23)</f>
        <v>14</v>
      </c>
      <c r="S23" s="393">
        <f>MAX(E23:N23)</f>
        <v>18</v>
      </c>
      <c r="T23" s="394">
        <f>AVERAGE(E23:N23)</f>
        <v>15.8</v>
      </c>
      <c r="U23" s="395" t="s">
        <v>78</v>
      </c>
    </row>
    <row r="24" spans="1:21">
      <c r="A24" s="600"/>
      <c r="B24" s="615" t="s">
        <v>205</v>
      </c>
      <c r="C24" s="553" t="s">
        <v>372</v>
      </c>
      <c r="D24" s="568">
        <v>10</v>
      </c>
      <c r="E24" s="571">
        <v>26</v>
      </c>
      <c r="F24" s="618"/>
      <c r="G24" s="569">
        <v>24</v>
      </c>
      <c r="H24" s="569"/>
      <c r="I24" s="569">
        <v>25</v>
      </c>
      <c r="J24" s="569"/>
      <c r="K24" s="571">
        <v>24</v>
      </c>
      <c r="L24" s="618"/>
      <c r="M24" s="571">
        <v>23</v>
      </c>
      <c r="N24" s="618"/>
      <c r="O24" s="343"/>
      <c r="P24" s="113"/>
      <c r="Q24" s="113"/>
      <c r="R24" s="619">
        <f>MIN(E24:N25)</f>
        <v>23</v>
      </c>
      <c r="S24" s="624">
        <f>MAX(E24:N25)</f>
        <v>27</v>
      </c>
      <c r="T24" s="626">
        <f>AVERAGE(E24:N25)</f>
        <v>24.9</v>
      </c>
    </row>
    <row r="25" spans="1:21">
      <c r="A25" s="600"/>
      <c r="B25" s="616"/>
      <c r="C25" s="617"/>
      <c r="D25" s="617"/>
      <c r="E25" s="571">
        <v>25</v>
      </c>
      <c r="F25" s="618"/>
      <c r="G25" s="569">
        <v>26</v>
      </c>
      <c r="H25" s="569"/>
      <c r="I25" s="569">
        <v>24</v>
      </c>
      <c r="J25" s="569"/>
      <c r="K25" s="571">
        <v>25</v>
      </c>
      <c r="L25" s="618"/>
      <c r="M25" s="571">
        <v>27</v>
      </c>
      <c r="N25" s="618"/>
      <c r="O25" s="343"/>
      <c r="P25" s="113"/>
      <c r="Q25" s="113"/>
      <c r="R25" s="630"/>
      <c r="S25" s="625"/>
      <c r="T25" s="627"/>
    </row>
    <row r="26" spans="1:21">
      <c r="A26" s="600"/>
      <c r="B26" s="568"/>
      <c r="C26" s="568"/>
      <c r="D26" s="568">
        <v>10</v>
      </c>
      <c r="E26" s="571"/>
      <c r="F26" s="618"/>
      <c r="G26" s="569"/>
      <c r="H26" s="569"/>
      <c r="I26" s="569"/>
      <c r="J26" s="569"/>
      <c r="K26" s="571"/>
      <c r="L26" s="618"/>
      <c r="M26" s="571"/>
      <c r="N26" s="618"/>
      <c r="O26" s="343"/>
      <c r="P26" s="113"/>
      <c r="Q26" s="113">
        <v>0</v>
      </c>
      <c r="R26" s="619">
        <f>MIN(E26:N27)</f>
        <v>0</v>
      </c>
      <c r="S26" s="624">
        <f>MAX(E26:N27)</f>
        <v>0</v>
      </c>
      <c r="T26" s="626" t="e">
        <f>AVERAGE(E26:N27)</f>
        <v>#DIV/0!</v>
      </c>
    </row>
    <row r="27" spans="1:21">
      <c r="A27" s="602"/>
      <c r="B27" s="554"/>
      <c r="C27" s="554"/>
      <c r="D27" s="554"/>
      <c r="E27" s="572"/>
      <c r="F27" s="621"/>
      <c r="G27" s="570"/>
      <c r="H27" s="570"/>
      <c r="I27" s="570"/>
      <c r="J27" s="570"/>
      <c r="K27" s="572"/>
      <c r="L27" s="621"/>
      <c r="M27" s="572"/>
      <c r="N27" s="621"/>
      <c r="O27" s="344"/>
      <c r="P27" s="114"/>
      <c r="Q27" s="114"/>
      <c r="R27" s="620"/>
      <c r="S27" s="628"/>
      <c r="T27" s="629"/>
    </row>
    <row r="28" spans="1:21">
      <c r="A28" s="573" t="s">
        <v>11</v>
      </c>
      <c r="B28" s="332" t="str">
        <f>B5</f>
        <v>5층 2-11반</v>
      </c>
      <c r="C28" s="332" t="str">
        <f>C5</f>
        <v>14:02 ~ 14:12</v>
      </c>
      <c r="D28" s="91">
        <v>5</v>
      </c>
      <c r="E28" s="632">
        <v>10</v>
      </c>
      <c r="F28" s="633"/>
      <c r="G28" s="631">
        <v>12</v>
      </c>
      <c r="H28" s="631"/>
      <c r="I28" s="631">
        <v>11</v>
      </c>
      <c r="J28" s="631"/>
      <c r="K28" s="603">
        <v>10</v>
      </c>
      <c r="L28" s="604"/>
      <c r="M28" s="632">
        <v>11</v>
      </c>
      <c r="N28" s="633"/>
      <c r="O28" s="342" t="str">
        <f>O19</f>
        <v>KEH-KW-01</v>
      </c>
      <c r="P28" s="113"/>
      <c r="Q28" s="113">
        <v>0</v>
      </c>
      <c r="R28" s="214">
        <f t="shared" ref="R28:R32" si="9">MIN(E28:N28)</f>
        <v>10</v>
      </c>
      <c r="S28" s="215">
        <f t="shared" ref="S28:S32" si="10">MAX(E28:N28)</f>
        <v>12</v>
      </c>
      <c r="T28" s="216">
        <f t="shared" ref="T28:T32" si="11">AVERAGE(E28:N28)</f>
        <v>10.8</v>
      </c>
    </row>
    <row r="29" spans="1:21">
      <c r="A29" s="574"/>
      <c r="B29" s="332" t="str">
        <f t="shared" ref="B29:C29" si="12">B6</f>
        <v>4층 2-4반</v>
      </c>
      <c r="C29" s="332" t="str">
        <f t="shared" si="12"/>
        <v>14:13 ~ 14:23</v>
      </c>
      <c r="D29" s="87">
        <v>5</v>
      </c>
      <c r="E29" s="606">
        <v>17</v>
      </c>
      <c r="F29" s="607"/>
      <c r="G29" s="608">
        <v>16</v>
      </c>
      <c r="H29" s="608"/>
      <c r="I29" s="608">
        <v>15</v>
      </c>
      <c r="J29" s="608"/>
      <c r="K29" s="606">
        <v>15</v>
      </c>
      <c r="L29" s="607"/>
      <c r="M29" s="606">
        <v>16</v>
      </c>
      <c r="N29" s="607"/>
      <c r="O29" s="343"/>
      <c r="P29" s="113"/>
      <c r="Q29" s="113">
        <v>0</v>
      </c>
      <c r="R29" s="223">
        <f t="shared" si="9"/>
        <v>15</v>
      </c>
      <c r="S29" s="182">
        <f t="shared" si="10"/>
        <v>17</v>
      </c>
      <c r="T29" s="172">
        <f t="shared" si="11"/>
        <v>15.8</v>
      </c>
    </row>
    <row r="30" spans="1:21" ht="24">
      <c r="A30" s="574"/>
      <c r="B30" s="332" t="str">
        <f t="shared" ref="B30:C30" si="13">B7</f>
        <v>1층 (도제)회계실무실습실</v>
      </c>
      <c r="C30" s="332" t="str">
        <f t="shared" si="13"/>
        <v>15:00 ~ 15:10</v>
      </c>
      <c r="D30" s="92">
        <f>D21</f>
        <v>5</v>
      </c>
      <c r="E30" s="606">
        <v>14</v>
      </c>
      <c r="F30" s="607"/>
      <c r="G30" s="606">
        <v>13</v>
      </c>
      <c r="H30" s="607"/>
      <c r="I30" s="606">
        <v>12</v>
      </c>
      <c r="J30" s="607"/>
      <c r="K30" s="606">
        <v>13</v>
      </c>
      <c r="L30" s="607"/>
      <c r="M30" s="606">
        <v>14</v>
      </c>
      <c r="N30" s="607"/>
      <c r="O30" s="343"/>
      <c r="P30" s="113"/>
      <c r="Q30" s="113"/>
      <c r="R30" s="223">
        <f t="shared" si="9"/>
        <v>12</v>
      </c>
      <c r="S30" s="182">
        <f t="shared" si="10"/>
        <v>14</v>
      </c>
      <c r="T30" s="172">
        <f t="shared" si="11"/>
        <v>13.2</v>
      </c>
    </row>
    <row r="31" spans="1:21">
      <c r="A31" s="574"/>
      <c r="B31" s="375">
        <f>B8</f>
        <v>0</v>
      </c>
      <c r="C31" s="375">
        <f>C8</f>
        <v>0</v>
      </c>
      <c r="D31" s="368">
        <v>5</v>
      </c>
      <c r="E31" s="609"/>
      <c r="F31" s="610"/>
      <c r="G31" s="611"/>
      <c r="H31" s="611"/>
      <c r="I31" s="611"/>
      <c r="J31" s="611"/>
      <c r="K31" s="609"/>
      <c r="L31" s="610"/>
      <c r="M31" s="609"/>
      <c r="N31" s="610"/>
      <c r="O31" s="369"/>
      <c r="P31" s="379"/>
      <c r="Q31" s="379">
        <v>0</v>
      </c>
      <c r="R31" s="380">
        <f t="shared" si="9"/>
        <v>0</v>
      </c>
      <c r="S31" s="381">
        <f t="shared" si="10"/>
        <v>0</v>
      </c>
      <c r="T31" s="382" t="e">
        <f t="shared" si="11"/>
        <v>#DIV/0!</v>
      </c>
      <c r="U31" s="374" t="s">
        <v>137</v>
      </c>
    </row>
    <row r="32" spans="1:21">
      <c r="A32" s="575"/>
      <c r="B32" s="396" t="str">
        <f>B23</f>
        <v>급식시설</v>
      </c>
      <c r="C32" s="396" t="str">
        <f>C23</f>
        <v>14:46 ~ 14:56</v>
      </c>
      <c r="D32" s="397">
        <v>5</v>
      </c>
      <c r="E32" s="622">
        <v>17</v>
      </c>
      <c r="F32" s="623"/>
      <c r="G32" s="634">
        <v>16</v>
      </c>
      <c r="H32" s="634"/>
      <c r="I32" s="634">
        <v>14</v>
      </c>
      <c r="J32" s="634"/>
      <c r="K32" s="622">
        <v>13</v>
      </c>
      <c r="L32" s="623"/>
      <c r="M32" s="622">
        <v>14</v>
      </c>
      <c r="N32" s="623"/>
      <c r="O32" s="398"/>
      <c r="P32" s="391"/>
      <c r="Q32" s="391"/>
      <c r="R32" s="399">
        <f t="shared" si="9"/>
        <v>13</v>
      </c>
      <c r="S32" s="400">
        <f t="shared" si="10"/>
        <v>17</v>
      </c>
      <c r="T32" s="401">
        <f t="shared" si="11"/>
        <v>14.8</v>
      </c>
      <c r="U32" s="395" t="s">
        <v>78</v>
      </c>
    </row>
    <row r="33" spans="1:43">
      <c r="A33" s="600" t="s">
        <v>19</v>
      </c>
      <c r="B33" s="332" t="str">
        <f>B5</f>
        <v>5층 2-11반</v>
      </c>
      <c r="C33" s="332" t="str">
        <f>C5</f>
        <v>14:02 ~ 14:12</v>
      </c>
      <c r="D33" s="88">
        <v>3</v>
      </c>
      <c r="E33" s="603">
        <v>816</v>
      </c>
      <c r="F33" s="604"/>
      <c r="G33" s="603">
        <v>842</v>
      </c>
      <c r="H33" s="642"/>
      <c r="I33" s="604"/>
      <c r="J33" s="603">
        <v>786</v>
      </c>
      <c r="K33" s="642"/>
      <c r="L33" s="604"/>
      <c r="M33" s="555"/>
      <c r="N33" s="643"/>
      <c r="O33" s="383" t="str">
        <f>O28</f>
        <v>KEH-KW-01</v>
      </c>
      <c r="P33" s="299"/>
      <c r="Q33" s="218">
        <v>0</v>
      </c>
      <c r="R33" s="222">
        <f t="shared" ref="R33:R43" si="14">MIN(E33:L33)</f>
        <v>786</v>
      </c>
      <c r="S33" s="180">
        <f t="shared" ref="S33:S43" si="15">MAX(E33:L33)</f>
        <v>842</v>
      </c>
      <c r="T33" s="170">
        <f t="shared" ref="T33:T43" si="16">AVERAGE(E33:L33)</f>
        <v>814.66666666666663</v>
      </c>
    </row>
    <row r="34" spans="1:43">
      <c r="A34" s="601"/>
      <c r="B34" s="332" t="str">
        <f t="shared" ref="B34:C34" si="17">B6</f>
        <v>4층 2-4반</v>
      </c>
      <c r="C34" s="332" t="str">
        <f t="shared" si="17"/>
        <v>14:13 ~ 14:23</v>
      </c>
      <c r="D34" s="87">
        <v>3</v>
      </c>
      <c r="E34" s="606">
        <v>763</v>
      </c>
      <c r="F34" s="607"/>
      <c r="G34" s="606">
        <v>819</v>
      </c>
      <c r="H34" s="635"/>
      <c r="I34" s="607"/>
      <c r="J34" s="606">
        <v>843</v>
      </c>
      <c r="K34" s="635"/>
      <c r="L34" s="607"/>
      <c r="M34" s="571"/>
      <c r="N34" s="618"/>
      <c r="O34" s="384"/>
      <c r="P34" s="294"/>
      <c r="Q34" s="212">
        <v>0</v>
      </c>
      <c r="R34" s="223">
        <f t="shared" si="14"/>
        <v>763</v>
      </c>
      <c r="S34" s="182">
        <f t="shared" si="15"/>
        <v>843</v>
      </c>
      <c r="T34" s="172">
        <f t="shared" si="16"/>
        <v>808.33333333333337</v>
      </c>
    </row>
    <row r="35" spans="1:43" ht="24">
      <c r="A35" s="601"/>
      <c r="B35" s="332" t="str">
        <f t="shared" ref="B35:C35" si="18">B7</f>
        <v>1층 (도제)회계실무실습실</v>
      </c>
      <c r="C35" s="332" t="str">
        <f t="shared" si="18"/>
        <v>15:00 ~ 15:10</v>
      </c>
      <c r="D35" s="92">
        <v>3</v>
      </c>
      <c r="E35" s="606">
        <v>712</v>
      </c>
      <c r="F35" s="607"/>
      <c r="G35" s="606">
        <v>736</v>
      </c>
      <c r="H35" s="635"/>
      <c r="I35" s="607"/>
      <c r="J35" s="606">
        <v>772</v>
      </c>
      <c r="K35" s="635"/>
      <c r="L35" s="607"/>
      <c r="M35" s="128"/>
      <c r="N35" s="129"/>
      <c r="O35" s="384"/>
      <c r="P35" s="294"/>
      <c r="Q35" s="212"/>
      <c r="R35" s="223">
        <f t="shared" si="14"/>
        <v>712</v>
      </c>
      <c r="S35" s="182">
        <f t="shared" si="15"/>
        <v>772</v>
      </c>
      <c r="T35" s="172">
        <f t="shared" si="16"/>
        <v>740</v>
      </c>
    </row>
    <row r="36" spans="1:43">
      <c r="A36" s="601"/>
      <c r="B36" s="375">
        <f>B8</f>
        <v>0</v>
      </c>
      <c r="C36" s="375">
        <f>C8</f>
        <v>0</v>
      </c>
      <c r="D36" s="368">
        <v>3</v>
      </c>
      <c r="E36" s="609"/>
      <c r="F36" s="610"/>
      <c r="G36" s="609"/>
      <c r="H36" s="636"/>
      <c r="I36" s="610"/>
      <c r="J36" s="609"/>
      <c r="K36" s="636"/>
      <c r="L36" s="610"/>
      <c r="M36" s="609"/>
      <c r="N36" s="610"/>
      <c r="O36" s="385"/>
      <c r="P36" s="386"/>
      <c r="Q36" s="370">
        <v>0</v>
      </c>
      <c r="R36" s="371">
        <f t="shared" si="14"/>
        <v>0</v>
      </c>
      <c r="S36" s="372">
        <f t="shared" si="15"/>
        <v>0</v>
      </c>
      <c r="T36" s="373" t="e">
        <f t="shared" si="16"/>
        <v>#DIV/0!</v>
      </c>
      <c r="U36" s="374" t="s">
        <v>137</v>
      </c>
    </row>
    <row r="37" spans="1:43">
      <c r="A37" s="602"/>
      <c r="B37" s="396" t="str">
        <f>B23</f>
        <v>급식시설</v>
      </c>
      <c r="C37" s="396" t="str">
        <f>C23</f>
        <v>14:46 ~ 14:56</v>
      </c>
      <c r="D37" s="402">
        <v>3</v>
      </c>
      <c r="E37" s="612">
        <v>512</v>
      </c>
      <c r="F37" s="613"/>
      <c r="G37" s="612">
        <v>603</v>
      </c>
      <c r="H37" s="644"/>
      <c r="I37" s="613"/>
      <c r="J37" s="612">
        <v>582</v>
      </c>
      <c r="K37" s="644"/>
      <c r="L37" s="613"/>
      <c r="M37" s="403"/>
      <c r="N37" s="404"/>
      <c r="O37" s="405"/>
      <c r="P37" s="406"/>
      <c r="Q37" s="407"/>
      <c r="R37" s="408">
        <f t="shared" si="14"/>
        <v>512</v>
      </c>
      <c r="S37" s="409">
        <f t="shared" si="15"/>
        <v>603</v>
      </c>
      <c r="T37" s="410">
        <f t="shared" si="16"/>
        <v>565.66666666666663</v>
      </c>
      <c r="U37" s="395" t="s">
        <v>78</v>
      </c>
    </row>
    <row r="38" spans="1:43" s="151" customFormat="1">
      <c r="A38" s="637" t="s">
        <v>31</v>
      </c>
      <c r="B38" s="91" t="str">
        <f>B5</f>
        <v>5층 2-11반</v>
      </c>
      <c r="C38" s="91" t="str">
        <f>C5</f>
        <v>14:02 ~ 14:12</v>
      </c>
      <c r="D38" s="88">
        <v>3</v>
      </c>
      <c r="E38" s="638">
        <v>1.9</v>
      </c>
      <c r="F38" s="639"/>
      <c r="G38" s="638">
        <v>1.92</v>
      </c>
      <c r="H38" s="640"/>
      <c r="I38" s="639"/>
      <c r="J38" s="638">
        <v>1.93</v>
      </c>
      <c r="K38" s="640"/>
      <c r="L38" s="639"/>
      <c r="M38" s="616"/>
      <c r="N38" s="641"/>
      <c r="O38" s="645" t="str">
        <f>O33</f>
        <v>KEH-KW-01</v>
      </c>
      <c r="P38" s="113"/>
      <c r="Q38" s="113">
        <v>0</v>
      </c>
      <c r="R38" s="224">
        <f t="shared" si="14"/>
        <v>1.9</v>
      </c>
      <c r="S38" s="225">
        <f t="shared" si="15"/>
        <v>1.93</v>
      </c>
      <c r="T38" s="226">
        <f t="shared" si="16"/>
        <v>1.9166666666666667</v>
      </c>
    </row>
    <row r="39" spans="1:43" s="151" customFormat="1">
      <c r="A39" s="637"/>
      <c r="B39" s="87"/>
      <c r="C39" s="87"/>
      <c r="D39" s="88">
        <v>3</v>
      </c>
      <c r="E39" s="648"/>
      <c r="F39" s="649"/>
      <c r="G39" s="648"/>
      <c r="H39" s="650"/>
      <c r="I39" s="649"/>
      <c r="J39" s="648"/>
      <c r="K39" s="650"/>
      <c r="L39" s="649"/>
      <c r="M39" s="571"/>
      <c r="N39" s="618"/>
      <c r="O39" s="646"/>
      <c r="P39" s="113"/>
      <c r="Q39" s="113">
        <v>0</v>
      </c>
      <c r="R39" s="227">
        <f t="shared" si="14"/>
        <v>0</v>
      </c>
      <c r="S39" s="228">
        <f t="shared" si="15"/>
        <v>0</v>
      </c>
      <c r="T39" s="229" t="e">
        <f t="shared" si="16"/>
        <v>#DIV/0!</v>
      </c>
    </row>
    <row r="40" spans="1:43" s="151" customFormat="1">
      <c r="A40" s="637"/>
      <c r="B40" s="92"/>
      <c r="C40" s="89"/>
      <c r="D40" s="89">
        <v>3</v>
      </c>
      <c r="E40" s="651"/>
      <c r="F40" s="652"/>
      <c r="G40" s="651"/>
      <c r="H40" s="653"/>
      <c r="I40" s="652"/>
      <c r="J40" s="651"/>
      <c r="K40" s="653"/>
      <c r="L40" s="652"/>
      <c r="M40" s="654"/>
      <c r="N40" s="655"/>
      <c r="O40" s="647"/>
      <c r="P40" s="113"/>
      <c r="Q40" s="113">
        <v>0</v>
      </c>
      <c r="R40" s="230">
        <f t="shared" si="14"/>
        <v>0</v>
      </c>
      <c r="S40" s="231">
        <f t="shared" si="15"/>
        <v>0</v>
      </c>
      <c r="T40" s="232" t="e">
        <f t="shared" si="16"/>
        <v>#DIV/0!</v>
      </c>
    </row>
    <row r="41" spans="1:43">
      <c r="A41" s="600" t="s">
        <v>244</v>
      </c>
      <c r="B41" s="88" t="str">
        <f>B5</f>
        <v>5층 2-11반</v>
      </c>
      <c r="C41" s="88" t="str">
        <f>C5</f>
        <v>14:02 ~ 14:12</v>
      </c>
      <c r="D41" s="88">
        <v>3</v>
      </c>
      <c r="E41" s="656">
        <v>1.9E-2</v>
      </c>
      <c r="F41" s="657"/>
      <c r="G41" s="656">
        <v>0.02</v>
      </c>
      <c r="H41" s="658"/>
      <c r="I41" s="657"/>
      <c r="J41" s="656">
        <v>2.1000000000000001E-2</v>
      </c>
      <c r="K41" s="658"/>
      <c r="L41" s="657"/>
      <c r="M41" s="555"/>
      <c r="N41" s="643"/>
      <c r="O41" s="645" t="str">
        <f>O38</f>
        <v>KEH-KW-01</v>
      </c>
      <c r="P41" s="112"/>
      <c r="Q41" s="112">
        <v>0</v>
      </c>
      <c r="R41" s="233">
        <f t="shared" si="14"/>
        <v>1.9E-2</v>
      </c>
      <c r="S41" s="234">
        <f t="shared" si="15"/>
        <v>2.1000000000000001E-2</v>
      </c>
      <c r="T41" s="235">
        <f t="shared" si="16"/>
        <v>0.02</v>
      </c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</row>
    <row r="42" spans="1:43">
      <c r="A42" s="601"/>
      <c r="B42" s="87"/>
      <c r="C42" s="87"/>
      <c r="D42" s="87">
        <v>3</v>
      </c>
      <c r="E42" s="659"/>
      <c r="F42" s="660"/>
      <c r="G42" s="659"/>
      <c r="H42" s="661"/>
      <c r="I42" s="660"/>
      <c r="J42" s="659"/>
      <c r="K42" s="661"/>
      <c r="L42" s="660"/>
      <c r="M42" s="571"/>
      <c r="N42" s="618"/>
      <c r="O42" s="646"/>
      <c r="P42" s="113"/>
      <c r="Q42" s="113">
        <v>0</v>
      </c>
      <c r="R42" s="236">
        <f t="shared" si="14"/>
        <v>0</v>
      </c>
      <c r="S42" s="237">
        <f t="shared" si="15"/>
        <v>0</v>
      </c>
      <c r="T42" s="210" t="e">
        <f t="shared" si="16"/>
        <v>#DIV/0!</v>
      </c>
      <c r="U42" s="662" t="s">
        <v>437</v>
      </c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2"/>
      <c r="AM42" s="664"/>
    </row>
    <row r="43" spans="1:43">
      <c r="A43" s="602"/>
      <c r="B43" s="89"/>
      <c r="C43" s="89"/>
      <c r="D43" s="89">
        <v>3</v>
      </c>
      <c r="E43" s="665"/>
      <c r="F43" s="666"/>
      <c r="G43" s="665"/>
      <c r="H43" s="667"/>
      <c r="I43" s="666"/>
      <c r="J43" s="665"/>
      <c r="K43" s="667"/>
      <c r="L43" s="666"/>
      <c r="M43" s="654"/>
      <c r="N43" s="655"/>
      <c r="O43" s="646"/>
      <c r="P43" s="113"/>
      <c r="Q43" s="113">
        <v>0</v>
      </c>
      <c r="R43" s="238">
        <f t="shared" si="14"/>
        <v>0</v>
      </c>
      <c r="S43" s="239">
        <f t="shared" si="15"/>
        <v>0</v>
      </c>
      <c r="T43" s="240" t="e">
        <f t="shared" si="16"/>
        <v>#DIV/0!</v>
      </c>
      <c r="U43" s="662" t="s">
        <v>337</v>
      </c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4"/>
      <c r="AM43" s="153" t="s">
        <v>272</v>
      </c>
    </row>
    <row r="44" spans="1:43" ht="16.7" customHeight="1">
      <c r="A44" s="668" t="s">
        <v>35</v>
      </c>
      <c r="B44" s="552" t="s">
        <v>222</v>
      </c>
      <c r="C44" s="552" t="s">
        <v>104</v>
      </c>
      <c r="D44" s="552" t="s">
        <v>239</v>
      </c>
      <c r="E44" s="670" t="s">
        <v>288</v>
      </c>
      <c r="F44" s="670"/>
      <c r="G44" s="670"/>
      <c r="H44" s="670"/>
      <c r="I44" s="671"/>
      <c r="J44" s="672"/>
      <c r="K44" s="672"/>
      <c r="L44" s="673"/>
      <c r="M44" s="670"/>
      <c r="N44" s="670"/>
      <c r="O44" s="674"/>
      <c r="P44" s="306"/>
      <c r="Q44" s="675" t="s">
        <v>48</v>
      </c>
      <c r="R44" s="677" t="s">
        <v>218</v>
      </c>
      <c r="S44" s="679" t="s">
        <v>185</v>
      </c>
      <c r="T44" s="681" t="s">
        <v>183</v>
      </c>
      <c r="U44" s="683" t="s">
        <v>288</v>
      </c>
      <c r="V44" s="683"/>
      <c r="W44" s="683"/>
      <c r="X44" s="683"/>
      <c r="Y44" s="683"/>
      <c r="Z44" s="684"/>
      <c r="AA44" s="685" t="s">
        <v>248</v>
      </c>
      <c r="AB44" s="683"/>
      <c r="AC44" s="683"/>
      <c r="AD44" s="683"/>
      <c r="AE44" s="683"/>
      <c r="AF44" s="684"/>
      <c r="AG44" s="686" t="s">
        <v>223</v>
      </c>
      <c r="AH44" s="687"/>
      <c r="AI44" s="687"/>
      <c r="AJ44" s="687"/>
      <c r="AK44" s="687"/>
      <c r="AL44" s="688"/>
      <c r="AM44" s="689" t="s">
        <v>472</v>
      </c>
    </row>
    <row r="45" spans="1:43" ht="32.25" customHeight="1">
      <c r="A45" s="669"/>
      <c r="B45" s="617"/>
      <c r="C45" s="617"/>
      <c r="D45" s="617"/>
      <c r="E45" s="690" t="s">
        <v>49</v>
      </c>
      <c r="F45" s="690"/>
      <c r="G45" s="690" t="s">
        <v>146</v>
      </c>
      <c r="H45" s="690"/>
      <c r="I45" s="690"/>
      <c r="J45" s="690"/>
      <c r="K45" s="690"/>
      <c r="L45" s="690"/>
      <c r="M45" s="690"/>
      <c r="N45" s="690"/>
      <c r="O45" s="93"/>
      <c r="P45" s="307"/>
      <c r="Q45" s="676"/>
      <c r="R45" s="678"/>
      <c r="S45" s="680"/>
      <c r="T45" s="682"/>
      <c r="U45" s="688" t="s">
        <v>49</v>
      </c>
      <c r="V45" s="689"/>
      <c r="W45" s="689" t="s">
        <v>146</v>
      </c>
      <c r="X45" s="689"/>
      <c r="Y45" s="64" t="s">
        <v>272</v>
      </c>
      <c r="Z45" s="65" t="s">
        <v>202</v>
      </c>
      <c r="AA45" s="689" t="s">
        <v>49</v>
      </c>
      <c r="AB45" s="689"/>
      <c r="AC45" s="689" t="s">
        <v>146</v>
      </c>
      <c r="AD45" s="689"/>
      <c r="AE45" s="69" t="s">
        <v>224</v>
      </c>
      <c r="AF45" s="68" t="s">
        <v>202</v>
      </c>
      <c r="AG45" s="689" t="s">
        <v>49</v>
      </c>
      <c r="AH45" s="689"/>
      <c r="AI45" s="689" t="s">
        <v>146</v>
      </c>
      <c r="AJ45" s="689"/>
      <c r="AK45" s="71" t="s">
        <v>224</v>
      </c>
      <c r="AL45" s="70" t="s">
        <v>202</v>
      </c>
      <c r="AM45" s="689"/>
      <c r="AN45" s="148" t="s">
        <v>202</v>
      </c>
    </row>
    <row r="46" spans="1:43">
      <c r="A46" s="669"/>
      <c r="B46" s="332" t="str">
        <f>B5</f>
        <v>5층 2-11반</v>
      </c>
      <c r="C46" s="332" t="str">
        <f>C5</f>
        <v>14:02 ~ 14:12</v>
      </c>
      <c r="D46" s="91">
        <v>1</v>
      </c>
      <c r="E46" s="608">
        <v>7</v>
      </c>
      <c r="F46" s="608"/>
      <c r="G46" s="608">
        <v>1</v>
      </c>
      <c r="H46" s="608"/>
      <c r="I46" s="606"/>
      <c r="J46" s="607"/>
      <c r="K46" s="608"/>
      <c r="L46" s="608"/>
      <c r="M46" s="608"/>
      <c r="N46" s="608"/>
      <c r="O46" s="94"/>
      <c r="P46" s="308"/>
      <c r="Q46" s="411" t="s">
        <v>458</v>
      </c>
      <c r="R46" s="219">
        <f>MIN(Z46,AF46,AL46)</f>
        <v>80.852562902751416</v>
      </c>
      <c r="S46" s="220">
        <f t="shared" ref="S46:S49" si="19">MAX(Z46,AF46,AL46)</f>
        <v>80.852562902751416</v>
      </c>
      <c r="T46" s="221">
        <f>AN46</f>
        <v>0</v>
      </c>
      <c r="U46" s="691">
        <f>IF(E46=0,"0",LOOKUP(E46,'부유세균 환산표'!$A$2:$B$402))</f>
        <v>7</v>
      </c>
      <c r="V46" s="692"/>
      <c r="W46" s="692">
        <f>IF(G46=0,"0",LOOKUP(G46,'부유세균 환산표'!$A$2:$B$402))</f>
        <v>1</v>
      </c>
      <c r="X46" s="692"/>
      <c r="Y46" s="62">
        <f>SUM(U46:X46)</f>
        <v>8</v>
      </c>
      <c r="Z46" s="62">
        <f>(Y46/'포집유량 보정'!N8)</f>
        <v>80.852562902751416</v>
      </c>
      <c r="AA46" s="692"/>
      <c r="AB46" s="692"/>
      <c r="AC46" s="692"/>
      <c r="AD46" s="692"/>
      <c r="AE46" s="62"/>
      <c r="AF46" s="62"/>
      <c r="AG46" s="692"/>
      <c r="AH46" s="692"/>
      <c r="AI46" s="692"/>
      <c r="AJ46" s="692"/>
      <c r="AK46" s="63"/>
      <c r="AL46" s="62"/>
      <c r="AM46" s="154"/>
      <c r="AN46" s="62"/>
    </row>
    <row r="47" spans="1:43">
      <c r="A47" s="668"/>
      <c r="B47" s="332" t="str">
        <f t="shared" ref="B47:C47" si="20">B6</f>
        <v>4층 2-4반</v>
      </c>
      <c r="C47" s="332" t="str">
        <f t="shared" si="20"/>
        <v>14:13 ~ 14:23</v>
      </c>
      <c r="D47" s="91">
        <v>1</v>
      </c>
      <c r="E47" s="608">
        <v>17</v>
      </c>
      <c r="F47" s="608"/>
      <c r="G47" s="608">
        <v>7</v>
      </c>
      <c r="H47" s="608"/>
      <c r="I47" s="606"/>
      <c r="J47" s="607"/>
      <c r="K47" s="608"/>
      <c r="L47" s="608"/>
      <c r="M47" s="608"/>
      <c r="N47" s="608"/>
      <c r="O47" s="94"/>
      <c r="P47" s="301"/>
      <c r="Q47" s="412"/>
      <c r="R47" s="219">
        <f>MIN(Z47,AF47,AL47)</f>
        <v>242.16029462572683</v>
      </c>
      <c r="S47" s="220">
        <f t="shared" si="19"/>
        <v>242.16029462572683</v>
      </c>
      <c r="T47" s="221">
        <f>AN47</f>
        <v>0</v>
      </c>
      <c r="U47" s="691">
        <f>IF(E47=0,"0",LOOKUP(E47,'부유세균 환산표'!$A$2:$B$402))</f>
        <v>17</v>
      </c>
      <c r="V47" s="692"/>
      <c r="W47" s="692">
        <f>IF(G47=0,"0",LOOKUP(G47,'부유세균 환산표'!$A$2:$B$402))</f>
        <v>7</v>
      </c>
      <c r="X47" s="692"/>
      <c r="Y47" s="62">
        <f>SUM(U47:X47)</f>
        <v>24</v>
      </c>
      <c r="Z47" s="62">
        <f>(Y47/'포집유량 보정'!N9)</f>
        <v>242.16029462572683</v>
      </c>
      <c r="AA47" s="692"/>
      <c r="AB47" s="692"/>
      <c r="AC47" s="692"/>
      <c r="AD47" s="692"/>
      <c r="AE47" s="62"/>
      <c r="AF47" s="62"/>
      <c r="AG47" s="692"/>
      <c r="AH47" s="692"/>
      <c r="AI47" s="692"/>
      <c r="AJ47" s="692"/>
      <c r="AK47" s="63"/>
      <c r="AL47" s="62"/>
      <c r="AM47" s="154"/>
      <c r="AN47" s="62"/>
      <c r="AO47" s="62"/>
      <c r="AP47" s="154"/>
      <c r="AQ47" s="62"/>
    </row>
    <row r="48" spans="1:43" ht="24">
      <c r="A48" s="668"/>
      <c r="B48" s="332" t="str">
        <f t="shared" ref="B48:C48" si="21">B7</f>
        <v>1층 (도제)회계실무실습실</v>
      </c>
      <c r="C48" s="332" t="str">
        <f t="shared" si="21"/>
        <v>15:00 ~ 15:10</v>
      </c>
      <c r="D48" s="91">
        <v>1</v>
      </c>
      <c r="E48" s="608">
        <v>1</v>
      </c>
      <c r="F48" s="608"/>
      <c r="G48" s="608">
        <v>2</v>
      </c>
      <c r="H48" s="608"/>
      <c r="I48" s="606"/>
      <c r="J48" s="607"/>
      <c r="K48" s="608"/>
      <c r="L48" s="608"/>
      <c r="M48" s="608"/>
      <c r="N48" s="608"/>
      <c r="O48" s="94"/>
      <c r="P48" s="301"/>
      <c r="Q48" s="412"/>
      <c r="R48" s="219">
        <f>MIN(Z48,AF48,AL48)</f>
        <v>30.304173117377232</v>
      </c>
      <c r="S48" s="220">
        <f t="shared" si="19"/>
        <v>30.304173117377232</v>
      </c>
      <c r="T48" s="221">
        <f>AN48</f>
        <v>0</v>
      </c>
      <c r="U48" s="691">
        <f>IF(E48=0,"0",LOOKUP(E48,'부유세균 환산표'!$A$2:$B$402))</f>
        <v>1</v>
      </c>
      <c r="V48" s="692"/>
      <c r="W48" s="692">
        <f>IF(G48=0,"0",LOOKUP(G48,'부유세균 환산표'!$A$2:$B$402))</f>
        <v>2</v>
      </c>
      <c r="X48" s="692"/>
      <c r="Y48" s="62">
        <f>SUM(U48:X48)</f>
        <v>3</v>
      </c>
      <c r="Z48" s="62">
        <f>(Y48/'포집유량 보정'!N10)</f>
        <v>30.304173117377232</v>
      </c>
      <c r="AA48" s="692"/>
      <c r="AB48" s="692"/>
      <c r="AC48" s="692"/>
      <c r="AD48" s="692"/>
      <c r="AE48" s="62"/>
      <c r="AF48" s="62"/>
      <c r="AG48" s="692"/>
      <c r="AH48" s="692"/>
      <c r="AI48" s="692"/>
      <c r="AJ48" s="692"/>
      <c r="AK48" s="63"/>
      <c r="AL48" s="62"/>
      <c r="AM48" s="154"/>
      <c r="AN48" s="62"/>
    </row>
    <row r="49" spans="1:41">
      <c r="A49" s="669"/>
      <c r="B49" s="414">
        <f>B8</f>
        <v>0</v>
      </c>
      <c r="C49" s="414">
        <f>C8</f>
        <v>0</v>
      </c>
      <c r="D49" s="286">
        <v>1</v>
      </c>
      <c r="E49" s="693"/>
      <c r="F49" s="693"/>
      <c r="G49" s="693"/>
      <c r="H49" s="693"/>
      <c r="I49" s="694"/>
      <c r="J49" s="695"/>
      <c r="K49" s="693"/>
      <c r="L49" s="693"/>
      <c r="M49" s="693"/>
      <c r="N49" s="693"/>
      <c r="O49" s="415"/>
      <c r="P49" s="416"/>
      <c r="Q49" s="417"/>
      <c r="R49" s="418">
        <f>MIN(Z49,AF49,AL49)</f>
        <v>0</v>
      </c>
      <c r="S49" s="419">
        <f t="shared" si="19"/>
        <v>0</v>
      </c>
      <c r="T49" s="420">
        <f>AN49</f>
        <v>0</v>
      </c>
      <c r="U49" s="691" t="str">
        <f>IF(E49=0,"0",LOOKUP(E49,'부유세균 환산표'!$A$2:$B$402))</f>
        <v>0</v>
      </c>
      <c r="V49" s="692"/>
      <c r="W49" s="692" t="str">
        <f>IF(G49=0,"0",LOOKUP(G49,'부유세균 환산표'!$A$2:$B$402))</f>
        <v>0</v>
      </c>
      <c r="X49" s="692"/>
      <c r="Y49" s="62">
        <f>SUM(U49:X49)</f>
        <v>0</v>
      </c>
      <c r="Z49" s="62">
        <f>(Y49/'포집유량 보정'!N9)</f>
        <v>0</v>
      </c>
      <c r="AA49" s="692"/>
      <c r="AB49" s="692"/>
      <c r="AC49" s="692"/>
      <c r="AD49" s="692"/>
      <c r="AE49" s="62"/>
      <c r="AF49" s="62"/>
      <c r="AG49" s="692"/>
      <c r="AH49" s="692"/>
      <c r="AI49" s="692"/>
      <c r="AJ49" s="692"/>
      <c r="AK49" s="63"/>
      <c r="AL49" s="62"/>
      <c r="AM49" s="154"/>
      <c r="AN49" s="62"/>
    </row>
    <row r="50" spans="1:41" ht="16.7" customHeight="1">
      <c r="A50" s="668" t="s">
        <v>90</v>
      </c>
      <c r="B50" s="552" t="s">
        <v>222</v>
      </c>
      <c r="C50" s="552" t="s">
        <v>104</v>
      </c>
      <c r="D50" s="552" t="s">
        <v>239</v>
      </c>
      <c r="E50" s="670" t="s">
        <v>288</v>
      </c>
      <c r="F50" s="670"/>
      <c r="G50" s="670"/>
      <c r="H50" s="670"/>
      <c r="I50" s="671" t="s">
        <v>248</v>
      </c>
      <c r="J50" s="672"/>
      <c r="K50" s="672"/>
      <c r="L50" s="673"/>
      <c r="M50" s="670" t="s">
        <v>223</v>
      </c>
      <c r="N50" s="670"/>
      <c r="O50" s="674"/>
      <c r="P50" s="306"/>
      <c r="Q50" s="675" t="s">
        <v>48</v>
      </c>
      <c r="R50" s="677" t="s">
        <v>218</v>
      </c>
      <c r="S50" s="679" t="s">
        <v>185</v>
      </c>
      <c r="T50" s="681" t="s">
        <v>183</v>
      </c>
      <c r="U50" s="683" t="s">
        <v>288</v>
      </c>
      <c r="V50" s="683"/>
      <c r="W50" s="683"/>
      <c r="X50" s="683"/>
      <c r="Y50" s="683"/>
      <c r="Z50" s="684"/>
      <c r="AA50" s="685" t="s">
        <v>248</v>
      </c>
      <c r="AB50" s="683"/>
      <c r="AC50" s="683"/>
      <c r="AD50" s="683"/>
      <c r="AE50" s="683"/>
      <c r="AF50" s="684"/>
      <c r="AG50" s="686" t="s">
        <v>223</v>
      </c>
      <c r="AH50" s="687"/>
      <c r="AI50" s="687"/>
      <c r="AJ50" s="687"/>
      <c r="AK50" s="687"/>
      <c r="AL50" s="688"/>
      <c r="AM50" s="689" t="s">
        <v>363</v>
      </c>
    </row>
    <row r="51" spans="1:41" ht="32.25" customHeight="1">
      <c r="A51" s="669"/>
      <c r="B51" s="617"/>
      <c r="C51" s="617"/>
      <c r="D51" s="617"/>
      <c r="E51" s="690" t="s">
        <v>49</v>
      </c>
      <c r="F51" s="690"/>
      <c r="G51" s="690" t="s">
        <v>146</v>
      </c>
      <c r="H51" s="690"/>
      <c r="I51" s="690" t="s">
        <v>49</v>
      </c>
      <c r="J51" s="690"/>
      <c r="K51" s="690" t="s">
        <v>146</v>
      </c>
      <c r="L51" s="690"/>
      <c r="M51" s="690" t="s">
        <v>49</v>
      </c>
      <c r="N51" s="690"/>
      <c r="O51" s="93" t="s">
        <v>146</v>
      </c>
      <c r="P51" s="307"/>
      <c r="Q51" s="676"/>
      <c r="R51" s="678"/>
      <c r="S51" s="680"/>
      <c r="T51" s="682"/>
      <c r="U51" s="688" t="s">
        <v>49</v>
      </c>
      <c r="V51" s="689"/>
      <c r="W51" s="689" t="s">
        <v>146</v>
      </c>
      <c r="X51" s="689"/>
      <c r="Y51" s="64" t="s">
        <v>272</v>
      </c>
      <c r="Z51" s="65" t="s">
        <v>202</v>
      </c>
      <c r="AA51" s="689" t="s">
        <v>49</v>
      </c>
      <c r="AB51" s="689"/>
      <c r="AC51" s="689" t="s">
        <v>146</v>
      </c>
      <c r="AD51" s="689"/>
      <c r="AE51" s="64" t="s">
        <v>272</v>
      </c>
      <c r="AF51" s="68" t="s">
        <v>202</v>
      </c>
      <c r="AG51" s="689" t="s">
        <v>49</v>
      </c>
      <c r="AH51" s="689"/>
      <c r="AI51" s="689" t="s">
        <v>146</v>
      </c>
      <c r="AJ51" s="689"/>
      <c r="AK51" s="71" t="s">
        <v>224</v>
      </c>
      <c r="AL51" s="64" t="s">
        <v>272</v>
      </c>
      <c r="AM51" s="689"/>
      <c r="AN51" s="64"/>
    </row>
    <row r="52" spans="1:41">
      <c r="A52" s="669"/>
      <c r="B52" s="388" t="str">
        <f>B23</f>
        <v>급식시설</v>
      </c>
      <c r="C52" s="388" t="str">
        <f>C23</f>
        <v>14:46 ~ 14:56</v>
      </c>
      <c r="D52" s="388">
        <v>3</v>
      </c>
      <c r="E52" s="614">
        <v>0</v>
      </c>
      <c r="F52" s="614"/>
      <c r="G52" s="614">
        <v>0</v>
      </c>
      <c r="H52" s="614"/>
      <c r="I52" s="612">
        <v>0</v>
      </c>
      <c r="J52" s="613"/>
      <c r="K52" s="614">
        <v>0</v>
      </c>
      <c r="L52" s="614"/>
      <c r="M52" s="614">
        <v>0</v>
      </c>
      <c r="N52" s="614"/>
      <c r="O52" s="476">
        <v>0</v>
      </c>
      <c r="P52" s="477"/>
      <c r="Q52" s="478" t="s">
        <v>121</v>
      </c>
      <c r="R52" s="479">
        <f>MIN(Y52,AE52,AK52)</f>
        <v>0</v>
      </c>
      <c r="S52" s="480">
        <f>MAX(Y52,AE52,AL52)</f>
        <v>0</v>
      </c>
      <c r="T52" s="394">
        <f>AM52</f>
        <v>0</v>
      </c>
      <c r="U52" s="697" t="str">
        <f>IF(E52=0,"0",LOOKUP(E52,'부유세균 환산표'!$A$2:$B$402))</f>
        <v>0</v>
      </c>
      <c r="V52" s="698"/>
      <c r="W52" s="698" t="str">
        <f>IF(G52=0,"0",LOOKUP(G52,'부유세균 환산표'!$A$2:$B$402))</f>
        <v>0</v>
      </c>
      <c r="X52" s="698"/>
      <c r="Y52" s="481">
        <f>SUM(U52:X52)</f>
        <v>0</v>
      </c>
      <c r="Z52" s="481" t="s">
        <v>187</v>
      </c>
      <c r="AA52" s="698" t="str">
        <f>IF(I52=0,"0",LOOKUP(I52,'부유세균 환산표'!$A$2:$B$402))</f>
        <v>0</v>
      </c>
      <c r="AB52" s="698"/>
      <c r="AC52" s="698" t="str">
        <f>IF(K52=0,"0",LOOKUP(K52,'부유세균 환산표'!$A$2:$B$402))</f>
        <v>0</v>
      </c>
      <c r="AD52" s="698"/>
      <c r="AE52" s="481">
        <f>SUM(AA52:AD52)</f>
        <v>0</v>
      </c>
      <c r="AF52" s="481" t="s">
        <v>187</v>
      </c>
      <c r="AG52" s="698" t="str">
        <f>IF(M52=0,"0",LOOKUP(M52,'부유세균 환산표'!$A$2:$B$402))</f>
        <v>0</v>
      </c>
      <c r="AH52" s="698"/>
      <c r="AI52" s="698" t="str">
        <f>IF(O52=0,"0",LOOKUP(O52,'부유세균 환산표'!$A$2:$B$402))</f>
        <v>0</v>
      </c>
      <c r="AJ52" s="698"/>
      <c r="AK52" s="482">
        <f>SUM(AG52:AI52)</f>
        <v>0</v>
      </c>
      <c r="AL52" s="481">
        <f>AK52</f>
        <v>0</v>
      </c>
      <c r="AM52" s="483">
        <f>AVERAGE(Y52,AE52,AL52)</f>
        <v>0</v>
      </c>
      <c r="AN52" s="481" t="s">
        <v>187</v>
      </c>
      <c r="AO52" s="395" t="s">
        <v>291</v>
      </c>
    </row>
    <row r="53" spans="1:41">
      <c r="A53" s="669"/>
      <c r="B53" s="484" t="s">
        <v>254</v>
      </c>
      <c r="C53" s="484" t="s">
        <v>379</v>
      </c>
      <c r="D53" s="484">
        <v>3</v>
      </c>
      <c r="E53" s="699">
        <v>0</v>
      </c>
      <c r="F53" s="699"/>
      <c r="G53" s="699">
        <v>0</v>
      </c>
      <c r="H53" s="699"/>
      <c r="I53" s="700">
        <v>1</v>
      </c>
      <c r="J53" s="701"/>
      <c r="K53" s="699">
        <v>0</v>
      </c>
      <c r="L53" s="699"/>
      <c r="M53" s="699">
        <v>0</v>
      </c>
      <c r="N53" s="699"/>
      <c r="O53" s="485">
        <v>1</v>
      </c>
      <c r="P53" s="486"/>
      <c r="Q53" s="487"/>
      <c r="R53" s="488">
        <f t="shared" ref="R53:R55" si="22">MIN(Y53,AE53,AK53)</f>
        <v>0</v>
      </c>
      <c r="S53" s="489">
        <f t="shared" ref="S53:S55" si="23">MAX(Y53,AE53,AL53)</f>
        <v>1</v>
      </c>
      <c r="T53" s="490">
        <f t="shared" ref="T53:T55" si="24">AM53</f>
        <v>0.66666666666666663</v>
      </c>
      <c r="U53" s="702" t="str">
        <f>IF(E53=0,"0",LOOKUP(E53,'부유세균 환산표'!$A$2:$B$402))</f>
        <v>0</v>
      </c>
      <c r="V53" s="703"/>
      <c r="W53" s="703" t="str">
        <f>IF(G53=0,"0",LOOKUP(G53,'부유세균 환산표'!$A$2:$B$402))</f>
        <v>0</v>
      </c>
      <c r="X53" s="703"/>
      <c r="Y53" s="491">
        <f t="shared" ref="Y53:Y55" si="25">SUM(U53:X53)</f>
        <v>0</v>
      </c>
      <c r="Z53" s="491" t="s">
        <v>187</v>
      </c>
      <c r="AA53" s="703">
        <f>IF(I53=0,"0",LOOKUP(I53,'부유세균 환산표'!$A$2:$B$402))</f>
        <v>1</v>
      </c>
      <c r="AB53" s="703"/>
      <c r="AC53" s="703" t="str">
        <f>IF(K53=0,"0",LOOKUP(K53,'부유세균 환산표'!$A$2:$B$402))</f>
        <v>0</v>
      </c>
      <c r="AD53" s="703"/>
      <c r="AE53" s="491">
        <f t="shared" ref="AE53:AE55" si="26">SUM(AA53:AD53)</f>
        <v>1</v>
      </c>
      <c r="AF53" s="491" t="s">
        <v>187</v>
      </c>
      <c r="AG53" s="703" t="str">
        <f>IF(M53=0,"0",LOOKUP(M53,'부유세균 환산표'!$A$2:$B$402))</f>
        <v>0</v>
      </c>
      <c r="AH53" s="703"/>
      <c r="AI53" s="703">
        <f>IF(O53=0,"0",LOOKUP(O53,'부유세균 환산표'!$A$2:$B$402))</f>
        <v>1</v>
      </c>
      <c r="AJ53" s="703"/>
      <c r="AK53" s="492">
        <f t="shared" ref="AK53:AK55" si="27">SUM(AG53:AI53)</f>
        <v>1</v>
      </c>
      <c r="AL53" s="491">
        <f t="shared" ref="AL53:AL55" si="28">AK53</f>
        <v>1</v>
      </c>
      <c r="AM53" s="493">
        <f t="shared" ref="AM53:AM55" si="29">AVERAGE(Y53,AE53,AK53)</f>
        <v>0.66666666666666663</v>
      </c>
      <c r="AN53" s="491" t="s">
        <v>187</v>
      </c>
      <c r="AO53" s="494" t="s">
        <v>254</v>
      </c>
    </row>
    <row r="54" spans="1:41">
      <c r="A54" s="669"/>
      <c r="B54" s="87"/>
      <c r="C54" s="87"/>
      <c r="D54" s="87">
        <v>3</v>
      </c>
      <c r="E54" s="608"/>
      <c r="F54" s="608"/>
      <c r="G54" s="608"/>
      <c r="H54" s="608"/>
      <c r="I54" s="606"/>
      <c r="J54" s="607"/>
      <c r="K54" s="608"/>
      <c r="L54" s="608"/>
      <c r="M54" s="608"/>
      <c r="N54" s="608"/>
      <c r="O54" s="94"/>
      <c r="P54" s="301"/>
      <c r="Q54" s="412"/>
      <c r="R54" s="241">
        <f t="shared" si="22"/>
        <v>0</v>
      </c>
      <c r="S54" s="242">
        <f t="shared" si="23"/>
        <v>0</v>
      </c>
      <c r="T54" s="172">
        <f t="shared" si="24"/>
        <v>0</v>
      </c>
      <c r="U54" s="691" t="str">
        <f>IF(E54=0,"0",LOOKUP(E54,'부유세균 환산표'!$A$2:$B$402))</f>
        <v>0</v>
      </c>
      <c r="V54" s="692"/>
      <c r="W54" s="692" t="str">
        <f>IF(G54=0,"0",LOOKUP(G54,'부유세균 환산표'!$A$2:$B$402))</f>
        <v>0</v>
      </c>
      <c r="X54" s="692"/>
      <c r="Y54" s="62">
        <f t="shared" si="25"/>
        <v>0</v>
      </c>
      <c r="Z54" s="62" t="s">
        <v>187</v>
      </c>
      <c r="AA54" s="692" t="str">
        <f>IF(I54=0,"0",LOOKUP(I54,'부유세균 환산표'!$A$2:$B$402))</f>
        <v>0</v>
      </c>
      <c r="AB54" s="692"/>
      <c r="AC54" s="692" t="str">
        <f>IF(K54=0,"0",LOOKUP(K54,'부유세균 환산표'!$A$2:$B$402))</f>
        <v>0</v>
      </c>
      <c r="AD54" s="692"/>
      <c r="AE54" s="62">
        <f t="shared" si="26"/>
        <v>0</v>
      </c>
      <c r="AF54" s="62" t="s">
        <v>187</v>
      </c>
      <c r="AG54" s="692" t="str">
        <f>IF(M54=0,"0",LOOKUP(M54,'부유세균 환산표'!$A$2:$B$402))</f>
        <v>0</v>
      </c>
      <c r="AH54" s="692"/>
      <c r="AI54" s="692" t="str">
        <f>IF(O54=0,"0",LOOKUP(O54,'부유세균 환산표'!$A$2:$B$402))</f>
        <v>0</v>
      </c>
      <c r="AJ54" s="692"/>
      <c r="AK54" s="63">
        <f t="shared" si="27"/>
        <v>0</v>
      </c>
      <c r="AL54" s="62">
        <f t="shared" si="28"/>
        <v>0</v>
      </c>
      <c r="AM54" s="154">
        <f t="shared" si="29"/>
        <v>0</v>
      </c>
      <c r="AN54" s="62" t="s">
        <v>187</v>
      </c>
    </row>
    <row r="55" spans="1:41">
      <c r="A55" s="696"/>
      <c r="B55" s="89"/>
      <c r="C55" s="89"/>
      <c r="D55" s="89">
        <v>3</v>
      </c>
      <c r="E55" s="704"/>
      <c r="F55" s="704"/>
      <c r="G55" s="705"/>
      <c r="H55" s="705"/>
      <c r="I55" s="706"/>
      <c r="J55" s="707"/>
      <c r="K55" s="705"/>
      <c r="L55" s="705"/>
      <c r="M55" s="705"/>
      <c r="N55" s="705"/>
      <c r="O55" s="217"/>
      <c r="P55" s="301"/>
      <c r="Q55" s="413"/>
      <c r="R55" s="243">
        <f t="shared" si="22"/>
        <v>0</v>
      </c>
      <c r="S55" s="244">
        <f t="shared" si="23"/>
        <v>0</v>
      </c>
      <c r="T55" s="174">
        <f t="shared" si="24"/>
        <v>0</v>
      </c>
      <c r="U55" s="691" t="str">
        <f>IF(E55=0,"0",LOOKUP(E55,'부유세균 환산표'!$A$2:$B$402))</f>
        <v>0</v>
      </c>
      <c r="V55" s="692"/>
      <c r="W55" s="692" t="str">
        <f>IF(G55=0,"0",LOOKUP(G55,'부유세균 환산표'!$A$2:$B$402))</f>
        <v>0</v>
      </c>
      <c r="X55" s="692"/>
      <c r="Y55" s="62">
        <f t="shared" si="25"/>
        <v>0</v>
      </c>
      <c r="Z55" s="62" t="s">
        <v>187</v>
      </c>
      <c r="AA55" s="692" t="str">
        <f>IF(I55=0,"0",LOOKUP(I55,'부유세균 환산표'!$A$2:$B$402))</f>
        <v>0</v>
      </c>
      <c r="AB55" s="692"/>
      <c r="AC55" s="692" t="str">
        <f>IF(K55=0,"0",LOOKUP(K55,'부유세균 환산표'!$A$2:$B$402))</f>
        <v>0</v>
      </c>
      <c r="AD55" s="692"/>
      <c r="AE55" s="62">
        <f t="shared" si="26"/>
        <v>0</v>
      </c>
      <c r="AF55" s="62" t="s">
        <v>187</v>
      </c>
      <c r="AG55" s="692" t="str">
        <f>IF(M55=0,"0",LOOKUP(M55,'부유세균 환산표'!$A$2:$B$402))</f>
        <v>0</v>
      </c>
      <c r="AH55" s="692"/>
      <c r="AI55" s="692" t="str">
        <f>IF(O55=0,"0",LOOKUP(O55,'부유세균 환산표'!$A$2:$B$402))</f>
        <v>0</v>
      </c>
      <c r="AJ55" s="692"/>
      <c r="AK55" s="63">
        <f t="shared" si="27"/>
        <v>0</v>
      </c>
      <c r="AL55" s="62">
        <f t="shared" si="28"/>
        <v>0</v>
      </c>
      <c r="AM55" s="154">
        <f t="shared" si="29"/>
        <v>0</v>
      </c>
      <c r="AN55" s="62" t="s">
        <v>187</v>
      </c>
    </row>
    <row r="56" spans="1:41" ht="12.75" customHeight="1">
      <c r="A56" s="708"/>
      <c r="B56" s="709"/>
      <c r="C56" s="709"/>
      <c r="D56" s="709"/>
      <c r="E56" s="709"/>
      <c r="F56" s="709"/>
      <c r="G56" s="710" t="s">
        <v>99</v>
      </c>
      <c r="H56" s="711"/>
      <c r="I56" s="711" t="s">
        <v>154</v>
      </c>
      <c r="J56" s="711"/>
      <c r="K56" s="711" t="s">
        <v>71</v>
      </c>
      <c r="L56" s="711"/>
      <c r="M56" s="712" t="s">
        <v>111</v>
      </c>
      <c r="N56" s="713"/>
      <c r="O56" s="713"/>
      <c r="P56" s="714"/>
      <c r="Q56" s="113"/>
      <c r="R56" s="245"/>
      <c r="S56" s="246"/>
      <c r="T56" s="300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/>
      <c r="AL56" s="85"/>
      <c r="AN56" s="85"/>
    </row>
    <row r="57" spans="1:41" ht="12.4" customHeight="1">
      <c r="A57" s="668" t="s">
        <v>192</v>
      </c>
      <c r="B57" s="88"/>
      <c r="C57" s="88"/>
      <c r="D57" s="88">
        <v>1</v>
      </c>
      <c r="E57" s="605"/>
      <c r="F57" s="603"/>
      <c r="G57" s="287" t="s">
        <v>219</v>
      </c>
      <c r="H57" s="290"/>
      <c r="I57" s="286" t="s">
        <v>255</v>
      </c>
      <c r="J57" s="290"/>
      <c r="K57" s="286" t="s">
        <v>216</v>
      </c>
      <c r="L57" s="290"/>
      <c r="M57" s="286" t="s">
        <v>203</v>
      </c>
      <c r="N57" s="315"/>
      <c r="O57" s="302" t="s">
        <v>201</v>
      </c>
      <c r="P57" s="318"/>
      <c r="Q57" s="207"/>
      <c r="R57" s="245">
        <f t="shared" ref="R57:R62" si="30">E57</f>
        <v>0</v>
      </c>
      <c r="S57" s="246">
        <f t="shared" ref="S57:S62" si="31">E57</f>
        <v>0</v>
      </c>
      <c r="T57" s="247">
        <f t="shared" ref="T57:T62" si="32">E57</f>
        <v>0</v>
      </c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/>
      <c r="AL57" s="85"/>
      <c r="AN57" s="85"/>
    </row>
    <row r="58" spans="1:41">
      <c r="A58" s="669"/>
      <c r="B58" s="87"/>
      <c r="C58" s="91"/>
      <c r="D58" s="91">
        <v>1</v>
      </c>
      <c r="E58" s="608"/>
      <c r="F58" s="606"/>
      <c r="G58" s="287" t="s">
        <v>219</v>
      </c>
      <c r="H58" s="290"/>
      <c r="I58" s="286" t="s">
        <v>255</v>
      </c>
      <c r="J58" s="290"/>
      <c r="K58" s="286" t="s">
        <v>216</v>
      </c>
      <c r="L58" s="290"/>
      <c r="M58" s="286" t="s">
        <v>203</v>
      </c>
      <c r="N58" s="315"/>
      <c r="O58" s="302" t="s">
        <v>201</v>
      </c>
      <c r="P58" s="318"/>
      <c r="Q58" s="285"/>
      <c r="R58" s="245">
        <f t="shared" si="30"/>
        <v>0</v>
      </c>
      <c r="S58" s="246">
        <f t="shared" si="31"/>
        <v>0</v>
      </c>
      <c r="T58" s="247">
        <f t="shared" si="32"/>
        <v>0</v>
      </c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/>
      <c r="AL58" s="85"/>
      <c r="AN58" s="85"/>
    </row>
    <row r="59" spans="1:41">
      <c r="A59" s="669"/>
      <c r="B59" s="87"/>
      <c r="C59" s="91"/>
      <c r="D59" s="91">
        <v>1</v>
      </c>
      <c r="E59" s="631"/>
      <c r="F59" s="632"/>
      <c r="G59" s="287" t="s">
        <v>219</v>
      </c>
      <c r="H59" s="290"/>
      <c r="I59" s="286" t="s">
        <v>255</v>
      </c>
      <c r="J59" s="290"/>
      <c r="K59" s="286" t="s">
        <v>216</v>
      </c>
      <c r="L59" s="290"/>
      <c r="M59" s="286" t="s">
        <v>203</v>
      </c>
      <c r="N59" s="316"/>
      <c r="O59" s="302" t="s">
        <v>201</v>
      </c>
      <c r="P59" s="318"/>
      <c r="Q59" s="285"/>
      <c r="R59" s="245">
        <f t="shared" si="30"/>
        <v>0</v>
      </c>
      <c r="S59" s="246">
        <f t="shared" si="31"/>
        <v>0</v>
      </c>
      <c r="T59" s="247">
        <f t="shared" si="32"/>
        <v>0</v>
      </c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/>
      <c r="AL59" s="85"/>
      <c r="AN59" s="85"/>
    </row>
    <row r="60" spans="1:41">
      <c r="A60" s="669"/>
      <c r="B60" s="87"/>
      <c r="C60" s="91"/>
      <c r="D60" s="91">
        <v>1</v>
      </c>
      <c r="E60" s="631"/>
      <c r="F60" s="632"/>
      <c r="G60" s="287" t="s">
        <v>219</v>
      </c>
      <c r="H60" s="290"/>
      <c r="I60" s="286" t="s">
        <v>255</v>
      </c>
      <c r="J60" s="290"/>
      <c r="K60" s="286" t="s">
        <v>216</v>
      </c>
      <c r="L60" s="290"/>
      <c r="M60" s="286" t="s">
        <v>203</v>
      </c>
      <c r="N60" s="315"/>
      <c r="O60" s="302" t="s">
        <v>201</v>
      </c>
      <c r="P60" s="318"/>
      <c r="Q60" s="285"/>
      <c r="R60" s="245">
        <f t="shared" si="30"/>
        <v>0</v>
      </c>
      <c r="S60" s="246">
        <f t="shared" si="31"/>
        <v>0</v>
      </c>
      <c r="T60" s="247">
        <f t="shared" si="32"/>
        <v>0</v>
      </c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6"/>
      <c r="AL60" s="85"/>
      <c r="AN60" s="85"/>
    </row>
    <row r="61" spans="1:41">
      <c r="A61" s="669"/>
      <c r="B61" s="87"/>
      <c r="C61" s="87"/>
      <c r="D61" s="87">
        <v>1</v>
      </c>
      <c r="E61" s="608"/>
      <c r="F61" s="606"/>
      <c r="G61" s="287" t="s">
        <v>219</v>
      </c>
      <c r="H61" s="290"/>
      <c r="I61" s="286" t="s">
        <v>255</v>
      </c>
      <c r="J61" s="290"/>
      <c r="K61" s="286" t="s">
        <v>216</v>
      </c>
      <c r="L61" s="290"/>
      <c r="M61" s="286" t="s">
        <v>203</v>
      </c>
      <c r="N61" s="315"/>
      <c r="O61" s="302" t="s">
        <v>201</v>
      </c>
      <c r="P61" s="318"/>
      <c r="Q61" s="207"/>
      <c r="R61" s="245">
        <f t="shared" si="30"/>
        <v>0</v>
      </c>
      <c r="S61" s="246">
        <f t="shared" si="31"/>
        <v>0</v>
      </c>
      <c r="T61" s="247">
        <f t="shared" si="32"/>
        <v>0</v>
      </c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/>
      <c r="AL61" s="85"/>
      <c r="AN61" s="85"/>
    </row>
    <row r="62" spans="1:41">
      <c r="A62" s="669"/>
      <c r="B62" s="91"/>
      <c r="C62" s="92"/>
      <c r="D62" s="92">
        <v>1</v>
      </c>
      <c r="E62" s="705"/>
      <c r="F62" s="706"/>
      <c r="G62" s="288" t="s">
        <v>219</v>
      </c>
      <c r="H62" s="291"/>
      <c r="I62" s="289" t="s">
        <v>255</v>
      </c>
      <c r="J62" s="291"/>
      <c r="K62" s="289" t="s">
        <v>216</v>
      </c>
      <c r="L62" s="291"/>
      <c r="M62" s="289" t="s">
        <v>203</v>
      </c>
      <c r="N62" s="317"/>
      <c r="O62" s="314" t="s">
        <v>201</v>
      </c>
      <c r="P62" s="319"/>
      <c r="Q62" s="208"/>
      <c r="R62" s="245">
        <f t="shared" si="30"/>
        <v>0</v>
      </c>
      <c r="S62" s="246">
        <f t="shared" si="31"/>
        <v>0</v>
      </c>
      <c r="T62" s="247">
        <f t="shared" si="32"/>
        <v>0</v>
      </c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/>
      <c r="AL62" s="85"/>
      <c r="AN62" s="85"/>
    </row>
    <row r="63" spans="1:41">
      <c r="A63" s="600" t="s">
        <v>193</v>
      </c>
      <c r="B63" s="88" t="s">
        <v>186</v>
      </c>
      <c r="C63" s="88" t="s">
        <v>334</v>
      </c>
      <c r="D63" s="88">
        <v>3</v>
      </c>
      <c r="E63" s="715">
        <v>1.2999999999999999E-2</v>
      </c>
      <c r="F63" s="716"/>
      <c r="G63" s="717">
        <v>0.01</v>
      </c>
      <c r="H63" s="718"/>
      <c r="I63" s="717">
        <v>1.2E-2</v>
      </c>
      <c r="J63" s="718"/>
      <c r="K63" s="719"/>
      <c r="L63" s="719"/>
      <c r="M63" s="719"/>
      <c r="N63" s="719"/>
      <c r="O63" s="258"/>
      <c r="P63" s="258"/>
      <c r="Q63" s="720" t="str">
        <f>O5</f>
        <v>KEH-KW-01</v>
      </c>
      <c r="R63" s="248">
        <f>MIN(E63:J63)</f>
        <v>0.01</v>
      </c>
      <c r="S63" s="234">
        <f>MAX(E63:J63)</f>
        <v>1.2999999999999999E-2</v>
      </c>
      <c r="T63" s="235">
        <f>AVERAGE(E63:J63)</f>
        <v>1.1666666666666667E-2</v>
      </c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7"/>
      <c r="AL63" s="96"/>
      <c r="AM63" s="152"/>
      <c r="AN63" s="96"/>
    </row>
    <row r="64" spans="1:41">
      <c r="A64" s="601"/>
      <c r="B64" s="87"/>
      <c r="C64" s="87"/>
      <c r="D64" s="87">
        <v>3</v>
      </c>
      <c r="E64" s="717"/>
      <c r="F64" s="718"/>
      <c r="G64" s="717"/>
      <c r="H64" s="718"/>
      <c r="I64" s="717"/>
      <c r="J64" s="718"/>
      <c r="K64" s="719"/>
      <c r="L64" s="719"/>
      <c r="M64" s="719"/>
      <c r="N64" s="719"/>
      <c r="O64" s="258"/>
      <c r="P64" s="258"/>
      <c r="Q64" s="720"/>
      <c r="R64" s="211">
        <f>MIN(E64:J64)</f>
        <v>0</v>
      </c>
      <c r="S64" s="237">
        <f>MAX(E64:J64)</f>
        <v>0</v>
      </c>
      <c r="T64" s="249" t="e">
        <f>AVERAGE(E64:J64)</f>
        <v>#DIV/0!</v>
      </c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7"/>
      <c r="AL64" s="96"/>
      <c r="AM64" s="152"/>
      <c r="AN64" s="96"/>
    </row>
    <row r="65" spans="1:40" ht="12.4" customHeight="1">
      <c r="A65" s="602"/>
      <c r="B65" s="89"/>
      <c r="C65" s="89"/>
      <c r="D65" s="89">
        <v>3</v>
      </c>
      <c r="E65" s="722"/>
      <c r="F65" s="723"/>
      <c r="G65" s="110"/>
      <c r="H65" s="111"/>
      <c r="I65" s="722"/>
      <c r="J65" s="723"/>
      <c r="K65" s="724"/>
      <c r="L65" s="724"/>
      <c r="M65" s="724"/>
      <c r="N65" s="724"/>
      <c r="O65" s="257"/>
      <c r="P65" s="257"/>
      <c r="Q65" s="721"/>
      <c r="R65" s="250">
        <f>MIN(E65:J65)</f>
        <v>0</v>
      </c>
      <c r="S65" s="251">
        <f>MAX(E65:J65)</f>
        <v>0</v>
      </c>
      <c r="T65" s="252" t="e">
        <f>AVERAGE(E65:J65)</f>
        <v>#DIV/0!</v>
      </c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7"/>
      <c r="AL65" s="96"/>
      <c r="AM65" s="152"/>
      <c r="AN65" s="96"/>
    </row>
    <row r="66" spans="1:40">
      <c r="A66" s="209" t="s">
        <v>246</v>
      </c>
      <c r="B66" s="141" t="str">
        <f>B53</f>
        <v>보건실</v>
      </c>
      <c r="C66" s="141" t="str">
        <f>C53</f>
        <v>13:49 ~ 13:59</v>
      </c>
      <c r="D66" s="141">
        <v>1</v>
      </c>
      <c r="E66" s="725" t="s">
        <v>113</v>
      </c>
      <c r="F66" s="726"/>
      <c r="G66" s="719"/>
      <c r="H66" s="719"/>
      <c r="I66" s="719"/>
      <c r="J66" s="719"/>
      <c r="K66" s="719"/>
      <c r="L66" s="719"/>
      <c r="M66" s="719"/>
      <c r="N66" s="719"/>
      <c r="O66" s="258"/>
      <c r="P66" s="258"/>
      <c r="Q66" s="112" t="s">
        <v>116</v>
      </c>
      <c r="R66" s="465" t="str">
        <f>E66</f>
        <v>0-20미만</v>
      </c>
      <c r="S66" s="466" t="str">
        <f>E66</f>
        <v>0-20미만</v>
      </c>
      <c r="T66" s="467" t="str">
        <f>E66</f>
        <v>0-20미만</v>
      </c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/>
      <c r="AL66" s="85"/>
      <c r="AN66" s="85"/>
    </row>
    <row r="67" spans="1:40">
      <c r="A67" s="727" t="s">
        <v>386</v>
      </c>
      <c r="B67" s="91" t="s">
        <v>181</v>
      </c>
      <c r="C67" s="91" t="s">
        <v>389</v>
      </c>
      <c r="D67" s="88">
        <v>3</v>
      </c>
      <c r="E67" s="729">
        <v>27</v>
      </c>
      <c r="F67" s="729"/>
      <c r="G67" s="729">
        <v>32</v>
      </c>
      <c r="H67" s="729"/>
      <c r="I67" s="729">
        <v>33</v>
      </c>
      <c r="J67" s="729"/>
      <c r="K67" s="730"/>
      <c r="L67" s="730"/>
      <c r="M67" s="730"/>
      <c r="N67" s="730"/>
      <c r="O67" s="259"/>
      <c r="P67" s="259"/>
      <c r="Q67" s="461" t="str">
        <f>O5</f>
        <v>KEH-KW-01</v>
      </c>
      <c r="R67" s="470">
        <f>MIN(E67:J67)</f>
        <v>27</v>
      </c>
      <c r="S67" s="155">
        <f>MAX(E67:J67)</f>
        <v>33</v>
      </c>
      <c r="T67" s="170">
        <f>AVERAGE(E67:J67)</f>
        <v>30.666666666666668</v>
      </c>
    </row>
    <row r="68" spans="1:40">
      <c r="A68" s="727"/>
      <c r="B68" s="87" t="s">
        <v>139</v>
      </c>
      <c r="C68" s="87" t="s">
        <v>390</v>
      </c>
      <c r="D68" s="87">
        <v>3</v>
      </c>
      <c r="E68" s="731">
        <v>45</v>
      </c>
      <c r="F68" s="732"/>
      <c r="G68" s="731">
        <v>44</v>
      </c>
      <c r="H68" s="732"/>
      <c r="I68" s="731">
        <v>40</v>
      </c>
      <c r="J68" s="732"/>
      <c r="K68" s="733"/>
      <c r="L68" s="733"/>
      <c r="M68" s="733"/>
      <c r="N68" s="733"/>
      <c r="O68" s="195"/>
      <c r="P68" s="195"/>
      <c r="Q68" s="462"/>
      <c r="R68" s="471">
        <f>MIN(E68:J68)</f>
        <v>40</v>
      </c>
      <c r="S68" s="171">
        <f>MAX(E68:J68)</f>
        <v>45</v>
      </c>
      <c r="T68" s="172">
        <f>AVERAGE(E68:J68)</f>
        <v>43</v>
      </c>
    </row>
    <row r="69" spans="1:40" ht="24">
      <c r="A69" s="727"/>
      <c r="B69" s="87" t="s">
        <v>387</v>
      </c>
      <c r="C69" s="87" t="s">
        <v>344</v>
      </c>
      <c r="D69" s="87">
        <v>3</v>
      </c>
      <c r="E69" s="731">
        <v>32</v>
      </c>
      <c r="F69" s="732"/>
      <c r="G69" s="731">
        <v>34</v>
      </c>
      <c r="H69" s="732"/>
      <c r="I69" s="731">
        <v>36</v>
      </c>
      <c r="J69" s="732"/>
      <c r="K69" s="196"/>
      <c r="L69" s="196"/>
      <c r="M69" s="196"/>
      <c r="N69" s="196"/>
      <c r="O69" s="195"/>
      <c r="P69" s="195"/>
      <c r="Q69" s="462"/>
      <c r="R69" s="471">
        <f>MIN(E69:J69)</f>
        <v>32</v>
      </c>
      <c r="S69" s="171">
        <f>MAX(E69:J69)</f>
        <v>36</v>
      </c>
      <c r="T69" s="172">
        <f>AVERAGE(E69:J69)</f>
        <v>34</v>
      </c>
    </row>
    <row r="70" spans="1:40">
      <c r="A70" s="727"/>
      <c r="B70" s="286"/>
      <c r="C70" s="286"/>
      <c r="D70" s="286">
        <v>3</v>
      </c>
      <c r="E70" s="734"/>
      <c r="F70" s="735"/>
      <c r="G70" s="734"/>
      <c r="H70" s="735"/>
      <c r="I70" s="734"/>
      <c r="J70" s="735"/>
      <c r="K70" s="736"/>
      <c r="L70" s="736"/>
      <c r="M70" s="736"/>
      <c r="N70" s="736"/>
      <c r="O70" s="424"/>
      <c r="P70" s="424"/>
      <c r="Q70" s="463"/>
      <c r="R70" s="472">
        <f>MIN(E70:J70)</f>
        <v>0</v>
      </c>
      <c r="S70" s="426">
        <f>MAX(E70:J70)</f>
        <v>0</v>
      </c>
      <c r="T70" s="427" t="e">
        <f>AVERAGE(E70:J70)</f>
        <v>#DIV/0!</v>
      </c>
      <c r="U70" s="374" t="s">
        <v>76</v>
      </c>
    </row>
    <row r="71" spans="1:40">
      <c r="A71" s="728"/>
      <c r="B71" s="396" t="str">
        <f>B23</f>
        <v>급식시설</v>
      </c>
      <c r="C71" s="396" t="str">
        <f>C23</f>
        <v>14:46 ~ 14:56</v>
      </c>
      <c r="D71" s="402">
        <v>3</v>
      </c>
      <c r="E71" s="737">
        <v>63</v>
      </c>
      <c r="F71" s="738"/>
      <c r="G71" s="737">
        <v>59</v>
      </c>
      <c r="H71" s="738"/>
      <c r="I71" s="737">
        <v>60</v>
      </c>
      <c r="J71" s="738"/>
      <c r="K71" s="429"/>
      <c r="L71" s="429"/>
      <c r="M71" s="429"/>
      <c r="N71" s="429"/>
      <c r="O71" s="430"/>
      <c r="P71" s="430"/>
      <c r="Q71" s="464"/>
      <c r="R71" s="473">
        <f>MIN(E71:J71)</f>
        <v>59</v>
      </c>
      <c r="S71" s="431">
        <f>MAX(E71:J71)</f>
        <v>63</v>
      </c>
      <c r="T71" s="410">
        <f>AVERAGE(E71:J71)</f>
        <v>60.666666666666664</v>
      </c>
      <c r="U71" s="395" t="s">
        <v>78</v>
      </c>
    </row>
    <row r="72" spans="1:40" hidden="1">
      <c r="A72" s="739" t="s">
        <v>399</v>
      </c>
      <c r="B72" s="88"/>
      <c r="C72" s="88">
        <v>23</v>
      </c>
      <c r="D72" s="88">
        <v>2</v>
      </c>
      <c r="E72" s="742"/>
      <c r="F72" s="742"/>
      <c r="G72" s="742"/>
      <c r="H72" s="742"/>
      <c r="I72" s="743"/>
      <c r="J72" s="743"/>
      <c r="K72" s="744"/>
      <c r="L72" s="744"/>
      <c r="M72" s="744"/>
      <c r="N72" s="744"/>
      <c r="O72" s="256"/>
      <c r="P72" s="195"/>
      <c r="Q72" s="745"/>
      <c r="R72" s="468">
        <f>MIN(E72:H72)</f>
        <v>0</v>
      </c>
      <c r="S72" s="335">
        <f t="shared" ref="S72:S75" si="33">MAX(E72:L72)</f>
        <v>0</v>
      </c>
      <c r="T72" s="469" t="e">
        <f t="shared" ref="T72:T75" si="34">AVERAGE(E72:L72)</f>
        <v>#DIV/0!</v>
      </c>
    </row>
    <row r="73" spans="1:40" hidden="1">
      <c r="A73" s="740"/>
      <c r="B73" s="87"/>
      <c r="C73" s="87">
        <v>23</v>
      </c>
      <c r="D73" s="87">
        <v>2</v>
      </c>
      <c r="E73" s="731"/>
      <c r="F73" s="732"/>
      <c r="G73" s="731"/>
      <c r="H73" s="732"/>
      <c r="I73" s="747"/>
      <c r="J73" s="748"/>
      <c r="K73" s="749"/>
      <c r="L73" s="750"/>
      <c r="M73" s="749"/>
      <c r="N73" s="750"/>
      <c r="O73" s="161"/>
      <c r="P73" s="195"/>
      <c r="Q73" s="745"/>
      <c r="R73" s="160">
        <f>MIN(E73:L73)</f>
        <v>0</v>
      </c>
      <c r="S73" s="171">
        <f t="shared" si="33"/>
        <v>0</v>
      </c>
      <c r="T73" s="253" t="e">
        <f t="shared" si="34"/>
        <v>#DIV/0!</v>
      </c>
    </row>
    <row r="74" spans="1:40" hidden="1">
      <c r="A74" s="740"/>
      <c r="B74" s="87"/>
      <c r="C74" s="87">
        <v>23</v>
      </c>
      <c r="D74" s="87">
        <v>2</v>
      </c>
      <c r="E74" s="157"/>
      <c r="F74" s="158"/>
      <c r="G74" s="157"/>
      <c r="H74" s="158"/>
      <c r="I74" s="165"/>
      <c r="J74" s="166"/>
      <c r="K74" s="159"/>
      <c r="L74" s="160"/>
      <c r="M74" s="159"/>
      <c r="N74" s="160"/>
      <c r="O74" s="161"/>
      <c r="P74" s="195"/>
      <c r="Q74" s="745"/>
      <c r="R74" s="160">
        <f>MIN(E74:L74)</f>
        <v>0</v>
      </c>
      <c r="S74" s="171">
        <f t="shared" si="33"/>
        <v>0</v>
      </c>
      <c r="T74" s="253" t="e">
        <f t="shared" si="34"/>
        <v>#DIV/0!</v>
      </c>
    </row>
    <row r="75" spans="1:40" hidden="1">
      <c r="A75" s="741"/>
      <c r="B75" s="92"/>
      <c r="C75" s="92">
        <v>23</v>
      </c>
      <c r="D75" s="89">
        <v>2</v>
      </c>
      <c r="E75" s="751"/>
      <c r="F75" s="752"/>
      <c r="G75" s="751"/>
      <c r="H75" s="752"/>
      <c r="I75" s="753"/>
      <c r="J75" s="754"/>
      <c r="K75" s="755"/>
      <c r="L75" s="756"/>
      <c r="M75" s="757"/>
      <c r="N75" s="758"/>
      <c r="O75" s="173"/>
      <c r="P75" s="195"/>
      <c r="Q75" s="746"/>
      <c r="R75" s="168">
        <f>MIN(E75:L75)</f>
        <v>0</v>
      </c>
      <c r="S75" s="185">
        <f t="shared" si="33"/>
        <v>0</v>
      </c>
      <c r="T75" s="254" t="e">
        <f t="shared" si="34"/>
        <v>#DIV/0!</v>
      </c>
    </row>
    <row r="76" spans="1:40">
      <c r="A76" s="759" t="s">
        <v>453</v>
      </c>
      <c r="B76" s="760" t="str">
        <f>B67</f>
        <v>5층 1-9반</v>
      </c>
      <c r="C76" s="760" t="str">
        <f>C67</f>
        <v>13:03 ~ 13:13</v>
      </c>
      <c r="D76" s="761">
        <v>9</v>
      </c>
      <c r="E76" s="729">
        <v>368</v>
      </c>
      <c r="F76" s="729"/>
      <c r="G76" s="729">
        <v>396</v>
      </c>
      <c r="H76" s="729"/>
      <c r="I76" s="729">
        <v>471</v>
      </c>
      <c r="J76" s="729"/>
      <c r="K76" s="729">
        <v>425</v>
      </c>
      <c r="L76" s="729"/>
      <c r="M76" s="729">
        <v>481</v>
      </c>
      <c r="N76" s="729"/>
      <c r="O76" s="259"/>
      <c r="P76" s="259"/>
      <c r="Q76" s="421" t="s">
        <v>482</v>
      </c>
      <c r="R76" s="764">
        <f>MIN(E76:N76,E77:L77)</f>
        <v>334</v>
      </c>
      <c r="S76" s="761">
        <f>MAX(E76:N76,E77:L77)</f>
        <v>481</v>
      </c>
      <c r="T76" s="765">
        <f>AVERAGE(E76:N76,E77:L77)</f>
        <v>405.22222222222223</v>
      </c>
    </row>
    <row r="77" spans="1:40">
      <c r="A77" s="727"/>
      <c r="B77" s="760"/>
      <c r="C77" s="760"/>
      <c r="D77" s="760"/>
      <c r="E77" s="763">
        <v>334</v>
      </c>
      <c r="F77" s="763"/>
      <c r="G77" s="763">
        <v>367</v>
      </c>
      <c r="H77" s="763"/>
      <c r="I77" s="763">
        <v>449</v>
      </c>
      <c r="J77" s="763"/>
      <c r="K77" s="763">
        <v>356</v>
      </c>
      <c r="L77" s="731"/>
      <c r="M77" s="733"/>
      <c r="N77" s="733"/>
      <c r="O77" s="195"/>
      <c r="P77" s="195"/>
      <c r="Q77" s="422"/>
      <c r="R77" s="750"/>
      <c r="S77" s="760"/>
      <c r="T77" s="766"/>
    </row>
    <row r="78" spans="1:40">
      <c r="A78" s="727"/>
      <c r="B78" s="760" t="str">
        <f>B68</f>
        <v>4층 1-7반</v>
      </c>
      <c r="C78" s="760" t="str">
        <f>C68</f>
        <v>13:15 ~ 13:25</v>
      </c>
      <c r="D78" s="760">
        <v>9</v>
      </c>
      <c r="E78" s="763">
        <v>530</v>
      </c>
      <c r="F78" s="763"/>
      <c r="G78" s="763">
        <v>486</v>
      </c>
      <c r="H78" s="763"/>
      <c r="I78" s="763">
        <v>427</v>
      </c>
      <c r="J78" s="763"/>
      <c r="K78" s="763">
        <v>568</v>
      </c>
      <c r="L78" s="763"/>
      <c r="M78" s="763">
        <v>537</v>
      </c>
      <c r="N78" s="763"/>
      <c r="O78" s="195"/>
      <c r="P78" s="195"/>
      <c r="Q78" s="422"/>
      <c r="R78" s="750">
        <f>MIN(E78:N78,E79:L79)</f>
        <v>427</v>
      </c>
      <c r="S78" s="760">
        <f>MAX(E78:N78,E79:L79)</f>
        <v>568</v>
      </c>
      <c r="T78" s="766">
        <f>AVERAGE(E78:N78,E79:L79)</f>
        <v>504.55555555555554</v>
      </c>
    </row>
    <row r="79" spans="1:40">
      <c r="A79" s="727"/>
      <c r="B79" s="760"/>
      <c r="C79" s="760"/>
      <c r="D79" s="760"/>
      <c r="E79" s="763">
        <v>463</v>
      </c>
      <c r="F79" s="763"/>
      <c r="G79" s="763">
        <v>559</v>
      </c>
      <c r="H79" s="763"/>
      <c r="I79" s="763">
        <v>531</v>
      </c>
      <c r="J79" s="763"/>
      <c r="K79" s="763">
        <v>440</v>
      </c>
      <c r="L79" s="731"/>
      <c r="M79" s="733"/>
      <c r="N79" s="733"/>
      <c r="O79" s="195"/>
      <c r="P79" s="195"/>
      <c r="Q79" s="422"/>
      <c r="R79" s="750"/>
      <c r="S79" s="760"/>
      <c r="T79" s="766"/>
    </row>
    <row r="80" spans="1:40">
      <c r="A80" s="727"/>
      <c r="B80" s="760" t="str">
        <f>B69</f>
        <v>2층 (도제)세무실무실습실</v>
      </c>
      <c r="C80" s="760" t="str">
        <f>C69</f>
        <v>13:26 ~ 13:36</v>
      </c>
      <c r="D80" s="760">
        <v>9</v>
      </c>
      <c r="E80" s="763">
        <v>893</v>
      </c>
      <c r="F80" s="763"/>
      <c r="G80" s="763">
        <v>883</v>
      </c>
      <c r="H80" s="763"/>
      <c r="I80" s="763">
        <v>612</v>
      </c>
      <c r="J80" s="763"/>
      <c r="K80" s="763">
        <v>761</v>
      </c>
      <c r="L80" s="763"/>
      <c r="M80" s="763">
        <v>772</v>
      </c>
      <c r="N80" s="763"/>
      <c r="O80" s="195"/>
      <c r="P80" s="195"/>
      <c r="Q80" s="422"/>
      <c r="R80" s="750">
        <f>MIN(E80:N80,E81:L81)</f>
        <v>612</v>
      </c>
      <c r="S80" s="760">
        <f>MAX(E80:N80,E81:L81)</f>
        <v>893</v>
      </c>
      <c r="T80" s="766">
        <f>AVERAGE(E80:N80,E81:L81)</f>
        <v>745.33333333333337</v>
      </c>
    </row>
    <row r="81" spans="1:21">
      <c r="A81" s="727"/>
      <c r="B81" s="760"/>
      <c r="C81" s="760"/>
      <c r="D81" s="762"/>
      <c r="E81" s="767">
        <v>630</v>
      </c>
      <c r="F81" s="767"/>
      <c r="G81" s="767">
        <v>732</v>
      </c>
      <c r="H81" s="767"/>
      <c r="I81" s="767">
        <v>740</v>
      </c>
      <c r="J81" s="767"/>
      <c r="K81" s="767">
        <v>685</v>
      </c>
      <c r="L81" s="768"/>
      <c r="M81" s="733"/>
      <c r="N81" s="733"/>
      <c r="O81" s="195"/>
      <c r="P81" s="195"/>
      <c r="Q81" s="422"/>
      <c r="R81" s="750"/>
      <c r="S81" s="760"/>
      <c r="T81" s="766"/>
    </row>
    <row r="82" spans="1:21">
      <c r="A82" s="727"/>
      <c r="B82" s="769">
        <f>B70</f>
        <v>0</v>
      </c>
      <c r="C82" s="769">
        <f>C70</f>
        <v>0</v>
      </c>
      <c r="D82" s="771">
        <v>9</v>
      </c>
      <c r="E82" s="769"/>
      <c r="F82" s="769"/>
      <c r="G82" s="769"/>
      <c r="H82" s="769"/>
      <c r="I82" s="769"/>
      <c r="J82" s="769"/>
      <c r="K82" s="769"/>
      <c r="L82" s="769"/>
      <c r="M82" s="769"/>
      <c r="N82" s="769"/>
      <c r="O82" s="424"/>
      <c r="P82" s="440"/>
      <c r="Q82" s="425"/>
      <c r="R82" s="735">
        <f>MIN(E82:N82,E83:L83)</f>
        <v>0</v>
      </c>
      <c r="S82" s="769">
        <f>MAX(E82:N82,E83:L83)</f>
        <v>0</v>
      </c>
      <c r="T82" s="774" t="e">
        <f>AVERAGE(E82:N82,E83:L83)</f>
        <v>#DIV/0!</v>
      </c>
      <c r="U82" s="776" t="s">
        <v>76</v>
      </c>
    </row>
    <row r="83" spans="1:21">
      <c r="A83" s="727"/>
      <c r="B83" s="770"/>
      <c r="C83" s="770"/>
      <c r="D83" s="772"/>
      <c r="E83" s="770"/>
      <c r="F83" s="770"/>
      <c r="G83" s="770"/>
      <c r="H83" s="770"/>
      <c r="I83" s="770"/>
      <c r="J83" s="770"/>
      <c r="K83" s="770"/>
      <c r="L83" s="777"/>
      <c r="M83" s="474"/>
      <c r="N83" s="474"/>
      <c r="O83" s="453"/>
      <c r="P83" s="475"/>
      <c r="Q83" s="425"/>
      <c r="R83" s="773"/>
      <c r="S83" s="771"/>
      <c r="T83" s="775"/>
      <c r="U83" s="776" t="s">
        <v>76</v>
      </c>
    </row>
    <row r="84" spans="1:21">
      <c r="A84" s="759" t="s">
        <v>464</v>
      </c>
      <c r="B84" s="744" t="str">
        <f>B67</f>
        <v>5층 1-9반</v>
      </c>
      <c r="C84" s="744" t="str">
        <f>C67</f>
        <v>13:03 ~ 13:13</v>
      </c>
      <c r="D84" s="744">
        <v>9</v>
      </c>
      <c r="E84" s="742">
        <v>926</v>
      </c>
      <c r="F84" s="742"/>
      <c r="G84" s="742">
        <v>784</v>
      </c>
      <c r="H84" s="742"/>
      <c r="I84" s="742">
        <v>732</v>
      </c>
      <c r="J84" s="742"/>
      <c r="K84" s="742">
        <v>953</v>
      </c>
      <c r="L84" s="742"/>
      <c r="M84" s="742">
        <v>826</v>
      </c>
      <c r="N84" s="742"/>
      <c r="O84" s="195"/>
      <c r="P84" s="195"/>
      <c r="Q84" s="421" t="str">
        <f>Q76</f>
        <v>KEH-TM-01</v>
      </c>
      <c r="R84" s="764">
        <f>MIN(E84:N84,E85:L85)</f>
        <v>732</v>
      </c>
      <c r="S84" s="761">
        <f>MAX(E84:N84,E85:L85)</f>
        <v>953</v>
      </c>
      <c r="T84" s="765">
        <f>AVERAGE(E84:N84,E85:L85)</f>
        <v>839.77777777777783</v>
      </c>
    </row>
    <row r="85" spans="1:21">
      <c r="A85" s="727"/>
      <c r="B85" s="760"/>
      <c r="C85" s="760"/>
      <c r="D85" s="760"/>
      <c r="E85" s="763">
        <v>799</v>
      </c>
      <c r="F85" s="763"/>
      <c r="G85" s="763">
        <v>907</v>
      </c>
      <c r="H85" s="763"/>
      <c r="I85" s="763">
        <v>816</v>
      </c>
      <c r="J85" s="763"/>
      <c r="K85" s="763">
        <v>815</v>
      </c>
      <c r="L85" s="763"/>
      <c r="M85" s="733"/>
      <c r="N85" s="733"/>
      <c r="O85" s="195"/>
      <c r="P85" s="195"/>
      <c r="Q85" s="422"/>
      <c r="R85" s="750"/>
      <c r="S85" s="760"/>
      <c r="T85" s="766"/>
    </row>
    <row r="86" spans="1:21">
      <c r="A86" s="727"/>
      <c r="B86" s="744" t="str">
        <f>B68</f>
        <v>4층 1-7반</v>
      </c>
      <c r="C86" s="744" t="str">
        <f>C68</f>
        <v>13:15 ~ 13:25</v>
      </c>
      <c r="D86" s="760">
        <v>9</v>
      </c>
      <c r="E86" s="763">
        <v>862</v>
      </c>
      <c r="F86" s="763"/>
      <c r="G86" s="763">
        <v>816</v>
      </c>
      <c r="H86" s="763"/>
      <c r="I86" s="763">
        <v>725</v>
      </c>
      <c r="J86" s="763"/>
      <c r="K86" s="763">
        <v>896</v>
      </c>
      <c r="L86" s="763"/>
      <c r="M86" s="763">
        <v>689</v>
      </c>
      <c r="N86" s="763"/>
      <c r="O86" s="195"/>
      <c r="P86" s="195"/>
      <c r="Q86" s="422"/>
      <c r="R86" s="750">
        <f>MIN(E86:N86,E87:L87)</f>
        <v>689</v>
      </c>
      <c r="S86" s="760">
        <f>MAX(E86:N86,E87:L87)</f>
        <v>896</v>
      </c>
      <c r="T86" s="766">
        <f>AVERAGE(E86:N86,E87:L87)</f>
        <v>773.55555555555554</v>
      </c>
    </row>
    <row r="87" spans="1:21">
      <c r="A87" s="727"/>
      <c r="B87" s="760"/>
      <c r="C87" s="760"/>
      <c r="D87" s="760"/>
      <c r="E87" s="763">
        <v>770</v>
      </c>
      <c r="F87" s="763"/>
      <c r="G87" s="763">
        <v>725</v>
      </c>
      <c r="H87" s="763"/>
      <c r="I87" s="763">
        <v>737</v>
      </c>
      <c r="J87" s="763"/>
      <c r="K87" s="763">
        <v>742</v>
      </c>
      <c r="L87" s="763"/>
      <c r="M87" s="733"/>
      <c r="N87" s="733"/>
      <c r="O87" s="195"/>
      <c r="P87" s="195"/>
      <c r="Q87" s="422"/>
      <c r="R87" s="750"/>
      <c r="S87" s="760"/>
      <c r="T87" s="766"/>
    </row>
    <row r="88" spans="1:21">
      <c r="A88" s="727"/>
      <c r="B88" s="744" t="str">
        <f>B69</f>
        <v>2층 (도제)세무실무실습실</v>
      </c>
      <c r="C88" s="744" t="str">
        <f>C69</f>
        <v>13:26 ~ 13:36</v>
      </c>
      <c r="D88" s="760">
        <v>9</v>
      </c>
      <c r="E88" s="763">
        <v>642</v>
      </c>
      <c r="F88" s="763"/>
      <c r="G88" s="763">
        <v>872</v>
      </c>
      <c r="H88" s="763"/>
      <c r="I88" s="763">
        <v>695</v>
      </c>
      <c r="J88" s="763"/>
      <c r="K88" s="763">
        <v>667</v>
      </c>
      <c r="L88" s="763"/>
      <c r="M88" s="763">
        <v>710</v>
      </c>
      <c r="N88" s="763"/>
      <c r="O88" s="195"/>
      <c r="P88" s="195"/>
      <c r="Q88" s="422"/>
      <c r="R88" s="750">
        <f>MIN(E88:N88,E89:L89)</f>
        <v>642</v>
      </c>
      <c r="S88" s="760">
        <f>MAX(E88:N88,E89:L89)</f>
        <v>872</v>
      </c>
      <c r="T88" s="766">
        <f>AVERAGE(E88:N88,E89:L89)</f>
        <v>720.11111111111109</v>
      </c>
    </row>
    <row r="89" spans="1:21">
      <c r="A89" s="727"/>
      <c r="B89" s="760"/>
      <c r="C89" s="760"/>
      <c r="D89" s="760"/>
      <c r="E89" s="763">
        <v>725</v>
      </c>
      <c r="F89" s="763"/>
      <c r="G89" s="763">
        <v>739</v>
      </c>
      <c r="H89" s="763"/>
      <c r="I89" s="763">
        <v>695</v>
      </c>
      <c r="J89" s="763"/>
      <c r="K89" s="763">
        <v>736</v>
      </c>
      <c r="L89" s="763"/>
      <c r="M89" s="733"/>
      <c r="N89" s="733"/>
      <c r="O89" s="195"/>
      <c r="P89" s="195"/>
      <c r="Q89" s="422"/>
      <c r="R89" s="750"/>
      <c r="S89" s="760"/>
      <c r="T89" s="766"/>
    </row>
    <row r="90" spans="1:21">
      <c r="A90" s="727"/>
      <c r="B90" s="771">
        <f>B70</f>
        <v>0</v>
      </c>
      <c r="C90" s="771">
        <f>C70</f>
        <v>0</v>
      </c>
      <c r="D90" s="771">
        <f>D82</f>
        <v>9</v>
      </c>
      <c r="E90" s="769"/>
      <c r="F90" s="769"/>
      <c r="G90" s="769"/>
      <c r="H90" s="769"/>
      <c r="I90" s="769"/>
      <c r="J90" s="769"/>
      <c r="K90" s="769"/>
      <c r="L90" s="769"/>
      <c r="M90" s="769"/>
      <c r="N90" s="769"/>
      <c r="O90" s="435"/>
      <c r="P90" s="436"/>
      <c r="Q90" s="425"/>
      <c r="R90" s="735">
        <f>MIN(E90:N90,E91:L91)</f>
        <v>0</v>
      </c>
      <c r="S90" s="769">
        <f>MAX(E90:N90,E91:L91)</f>
        <v>0</v>
      </c>
      <c r="T90" s="774" t="e">
        <f>AVERAGE(E90:N90,E91:L91)</f>
        <v>#DIV/0!</v>
      </c>
      <c r="U90" s="776" t="s">
        <v>76</v>
      </c>
    </row>
    <row r="91" spans="1:21">
      <c r="A91" s="727"/>
      <c r="B91" s="772"/>
      <c r="C91" s="772"/>
      <c r="D91" s="778"/>
      <c r="E91" s="769"/>
      <c r="F91" s="769"/>
      <c r="G91" s="769"/>
      <c r="H91" s="769"/>
      <c r="I91" s="769"/>
      <c r="J91" s="769"/>
      <c r="K91" s="769"/>
      <c r="L91" s="734"/>
      <c r="M91" s="437"/>
      <c r="N91" s="437"/>
      <c r="O91" s="435"/>
      <c r="P91" s="436"/>
      <c r="Q91" s="425"/>
      <c r="R91" s="735"/>
      <c r="S91" s="769"/>
      <c r="T91" s="779"/>
      <c r="U91" s="776" t="s">
        <v>76</v>
      </c>
    </row>
    <row r="92" spans="1:21">
      <c r="A92" s="759" t="s">
        <v>343</v>
      </c>
      <c r="B92" s="744" t="str">
        <f>B67</f>
        <v>5층 1-9반</v>
      </c>
      <c r="C92" s="744" t="str">
        <f>C67</f>
        <v>13:03 ~ 13:13</v>
      </c>
      <c r="D92" s="761"/>
      <c r="E92" s="296"/>
      <c r="F92" s="296"/>
      <c r="G92" s="175"/>
      <c r="H92" s="175"/>
      <c r="I92" s="175"/>
      <c r="J92" s="175"/>
      <c r="K92" s="175"/>
      <c r="L92" s="175"/>
      <c r="M92" s="175"/>
      <c r="N92" s="175"/>
      <c r="O92" s="176"/>
      <c r="P92" s="309"/>
      <c r="Q92" s="433" t="str">
        <f>Q84</f>
        <v>KEH-TM-01</v>
      </c>
      <c r="R92" s="213">
        <f>R76</f>
        <v>334</v>
      </c>
      <c r="S92" s="155">
        <f>S76</f>
        <v>481</v>
      </c>
      <c r="T92" s="255">
        <f>S92/R92</f>
        <v>1.4401197604790419</v>
      </c>
    </row>
    <row r="93" spans="1:21">
      <c r="A93" s="727"/>
      <c r="B93" s="760"/>
      <c r="C93" s="760"/>
      <c r="D93" s="760"/>
      <c r="E93" s="295"/>
      <c r="F93" s="295"/>
      <c r="G93" s="177"/>
      <c r="H93" s="177"/>
      <c r="I93" s="177"/>
      <c r="J93" s="177"/>
      <c r="K93" s="177"/>
      <c r="L93" s="177"/>
      <c r="M93" s="177"/>
      <c r="N93" s="177"/>
      <c r="O93" s="178"/>
      <c r="P93" s="310"/>
      <c r="Q93" s="434"/>
      <c r="R93" s="160"/>
      <c r="S93" s="171"/>
      <c r="T93" s="229"/>
    </row>
    <row r="94" spans="1:21">
      <c r="A94" s="727"/>
      <c r="B94" s="760" t="str">
        <f>B68</f>
        <v>4층 1-7반</v>
      </c>
      <c r="C94" s="760" t="str">
        <f>C68</f>
        <v>13:15 ~ 13:25</v>
      </c>
      <c r="D94" s="760"/>
      <c r="E94" s="295"/>
      <c r="F94" s="295"/>
      <c r="G94" s="177"/>
      <c r="H94" s="177"/>
      <c r="I94" s="177"/>
      <c r="J94" s="177"/>
      <c r="K94" s="177"/>
      <c r="L94" s="177"/>
      <c r="M94" s="177"/>
      <c r="N94" s="177"/>
      <c r="O94" s="161"/>
      <c r="P94" s="195"/>
      <c r="Q94" s="434"/>
      <c r="R94" s="160">
        <f>R78</f>
        <v>427</v>
      </c>
      <c r="S94" s="171">
        <f>S78</f>
        <v>568</v>
      </c>
      <c r="T94" s="255">
        <f>S94/R94</f>
        <v>1.3302107728337236</v>
      </c>
    </row>
    <row r="95" spans="1:21">
      <c r="A95" s="727"/>
      <c r="B95" s="760"/>
      <c r="C95" s="760"/>
      <c r="D95" s="760"/>
      <c r="E95" s="295"/>
      <c r="F95" s="295"/>
      <c r="G95" s="177"/>
      <c r="H95" s="177"/>
      <c r="I95" s="177"/>
      <c r="J95" s="177"/>
      <c r="K95" s="177"/>
      <c r="L95" s="177"/>
      <c r="M95" s="177"/>
      <c r="N95" s="177"/>
      <c r="O95" s="161"/>
      <c r="P95" s="195"/>
      <c r="Q95" s="434"/>
      <c r="R95" s="160"/>
      <c r="S95" s="171"/>
      <c r="T95" s="229"/>
    </row>
    <row r="96" spans="1:21">
      <c r="A96" s="727"/>
      <c r="B96" s="760" t="str">
        <f>B69</f>
        <v>2층 (도제)세무실무실습실</v>
      </c>
      <c r="C96" s="760" t="str">
        <f>C69</f>
        <v>13:26 ~ 13:36</v>
      </c>
      <c r="D96" s="760"/>
      <c r="E96" s="295"/>
      <c r="F96" s="295"/>
      <c r="G96" s="177"/>
      <c r="H96" s="177"/>
      <c r="I96" s="177"/>
      <c r="J96" s="177"/>
      <c r="K96" s="177"/>
      <c r="L96" s="177"/>
      <c r="M96" s="177"/>
      <c r="N96" s="177"/>
      <c r="O96" s="161"/>
      <c r="P96" s="195"/>
      <c r="Q96" s="434"/>
      <c r="R96" s="160">
        <f>R80</f>
        <v>612</v>
      </c>
      <c r="S96" s="171">
        <f>S80</f>
        <v>893</v>
      </c>
      <c r="T96" s="255">
        <f>S96/R96</f>
        <v>1.4591503267973855</v>
      </c>
    </row>
    <row r="97" spans="1:21">
      <c r="A97" s="727"/>
      <c r="B97" s="760"/>
      <c r="C97" s="760"/>
      <c r="D97" s="762"/>
      <c r="E97" s="295"/>
      <c r="F97" s="295"/>
      <c r="G97" s="177"/>
      <c r="H97" s="177"/>
      <c r="I97" s="177"/>
      <c r="J97" s="177"/>
      <c r="K97" s="177"/>
      <c r="L97" s="177"/>
      <c r="M97" s="177"/>
      <c r="N97" s="177"/>
      <c r="O97" s="161"/>
      <c r="P97" s="195"/>
      <c r="Q97" s="434"/>
      <c r="R97" s="160"/>
      <c r="S97" s="171"/>
      <c r="T97" s="229"/>
    </row>
    <row r="98" spans="1:21">
      <c r="A98" s="727"/>
      <c r="B98" s="769">
        <f>B70</f>
        <v>0</v>
      </c>
      <c r="C98" s="769">
        <f>C70</f>
        <v>0</v>
      </c>
      <c r="D98" s="771"/>
      <c r="E98" s="426"/>
      <c r="F98" s="426"/>
      <c r="G98" s="435"/>
      <c r="H98" s="435"/>
      <c r="I98" s="435"/>
      <c r="J98" s="435"/>
      <c r="K98" s="435"/>
      <c r="L98" s="435"/>
      <c r="M98" s="435"/>
      <c r="N98" s="435"/>
      <c r="O98" s="439"/>
      <c r="P98" s="440"/>
      <c r="Q98" s="425"/>
      <c r="R98" s="423">
        <f>R82</f>
        <v>0</v>
      </c>
      <c r="S98" s="426">
        <f>S82</f>
        <v>0</v>
      </c>
      <c r="T98" s="441" t="e">
        <f>R98/S98</f>
        <v>#DIV/0!</v>
      </c>
      <c r="U98" s="776" t="s">
        <v>76</v>
      </c>
    </row>
    <row r="99" spans="1:21">
      <c r="A99" s="728"/>
      <c r="B99" s="770"/>
      <c r="C99" s="770"/>
      <c r="D99" s="772"/>
      <c r="E99" s="432"/>
      <c r="F99" s="432"/>
      <c r="G99" s="442"/>
      <c r="H99" s="442"/>
      <c r="I99" s="442"/>
      <c r="J99" s="442"/>
      <c r="K99" s="442"/>
      <c r="L99" s="442"/>
      <c r="M99" s="442"/>
      <c r="N99" s="442"/>
      <c r="O99" s="443"/>
      <c r="P99" s="424"/>
      <c r="Q99" s="444"/>
      <c r="R99" s="423"/>
      <c r="S99" s="426"/>
      <c r="T99" s="445"/>
      <c r="U99" s="776" t="s">
        <v>76</v>
      </c>
    </row>
    <row r="100" spans="1:21" ht="16.5" customHeight="1">
      <c r="A100" s="759" t="s">
        <v>351</v>
      </c>
      <c r="B100" s="744" t="str">
        <f>$B$67</f>
        <v>5층 1-9반</v>
      </c>
      <c r="C100" s="744" t="str">
        <f>$C$67</f>
        <v>13:03 ~ 13:13</v>
      </c>
      <c r="D100" s="761"/>
      <c r="E100" s="296"/>
      <c r="F100" s="296"/>
      <c r="G100" s="175"/>
      <c r="H100" s="175"/>
      <c r="I100" s="175"/>
      <c r="J100" s="175"/>
      <c r="K100" s="175"/>
      <c r="L100" s="175"/>
      <c r="M100" s="175"/>
      <c r="N100" s="175"/>
      <c r="O100" s="176"/>
      <c r="P100" s="309"/>
      <c r="Q100" s="433" t="str">
        <f>Q92</f>
        <v>KEH-TM-01</v>
      </c>
      <c r="R100" s="213">
        <f>R84</f>
        <v>732</v>
      </c>
      <c r="S100" s="155">
        <f>S84</f>
        <v>953</v>
      </c>
      <c r="T100" s="255">
        <f>S100/R100</f>
        <v>1.3019125683060109</v>
      </c>
    </row>
    <row r="101" spans="1:21">
      <c r="A101" s="727"/>
      <c r="B101" s="760"/>
      <c r="C101" s="760"/>
      <c r="D101" s="760"/>
      <c r="E101" s="295"/>
      <c r="F101" s="295"/>
      <c r="G101" s="177"/>
      <c r="H101" s="177"/>
      <c r="I101" s="177"/>
      <c r="J101" s="177"/>
      <c r="K101" s="177"/>
      <c r="L101" s="177"/>
      <c r="M101" s="177"/>
      <c r="N101" s="177"/>
      <c r="O101" s="178"/>
      <c r="P101" s="310"/>
      <c r="Q101" s="434"/>
      <c r="R101" s="160"/>
      <c r="S101" s="171"/>
      <c r="T101" s="229"/>
    </row>
    <row r="102" spans="1:21">
      <c r="A102" s="727"/>
      <c r="B102" s="760" t="str">
        <f>$B$68</f>
        <v>4층 1-7반</v>
      </c>
      <c r="C102" s="760" t="str">
        <f>$C$68</f>
        <v>13:15 ~ 13:25</v>
      </c>
      <c r="D102" s="760"/>
      <c r="E102" s="295"/>
      <c r="F102" s="295"/>
      <c r="G102" s="177"/>
      <c r="H102" s="177"/>
      <c r="I102" s="177"/>
      <c r="J102" s="177"/>
      <c r="K102" s="177"/>
      <c r="L102" s="177"/>
      <c r="M102" s="177"/>
      <c r="N102" s="177"/>
      <c r="O102" s="161"/>
      <c r="P102" s="195"/>
      <c r="Q102" s="434"/>
      <c r="R102" s="160">
        <f>R86</f>
        <v>689</v>
      </c>
      <c r="S102" s="171">
        <f>S86</f>
        <v>896</v>
      </c>
      <c r="T102" s="255">
        <f>S102/R102</f>
        <v>1.3004354136429608</v>
      </c>
    </row>
    <row r="103" spans="1:21">
      <c r="A103" s="727"/>
      <c r="B103" s="760"/>
      <c r="C103" s="760"/>
      <c r="D103" s="760"/>
      <c r="E103" s="295"/>
      <c r="F103" s="295"/>
      <c r="G103" s="177"/>
      <c r="H103" s="177"/>
      <c r="I103" s="177"/>
      <c r="J103" s="177"/>
      <c r="K103" s="177"/>
      <c r="L103" s="177"/>
      <c r="M103" s="177"/>
      <c r="N103" s="177"/>
      <c r="O103" s="161"/>
      <c r="P103" s="195"/>
      <c r="Q103" s="434"/>
      <c r="R103" s="160"/>
      <c r="S103" s="171"/>
      <c r="T103" s="229"/>
    </row>
    <row r="104" spans="1:21">
      <c r="A104" s="727"/>
      <c r="B104" s="760" t="str">
        <f>$B$69</f>
        <v>2층 (도제)세무실무실습실</v>
      </c>
      <c r="C104" s="760" t="str">
        <f>$C$69</f>
        <v>13:26 ~ 13:36</v>
      </c>
      <c r="D104" s="760"/>
      <c r="E104" s="295"/>
      <c r="F104" s="295"/>
      <c r="G104" s="177"/>
      <c r="H104" s="177"/>
      <c r="I104" s="177"/>
      <c r="J104" s="177"/>
      <c r="K104" s="177"/>
      <c r="L104" s="177"/>
      <c r="M104" s="177"/>
      <c r="N104" s="177"/>
      <c r="O104" s="161"/>
      <c r="P104" s="195"/>
      <c r="Q104" s="434"/>
      <c r="R104" s="160">
        <f>R88</f>
        <v>642</v>
      </c>
      <c r="S104" s="171">
        <f>S88</f>
        <v>872</v>
      </c>
      <c r="T104" s="255">
        <f>S104/R104</f>
        <v>1.3582554517133956</v>
      </c>
    </row>
    <row r="105" spans="1:21">
      <c r="A105" s="727"/>
      <c r="B105" s="760"/>
      <c r="C105" s="760"/>
      <c r="D105" s="762"/>
      <c r="E105" s="295"/>
      <c r="F105" s="295"/>
      <c r="G105" s="177"/>
      <c r="H105" s="177"/>
      <c r="I105" s="177"/>
      <c r="J105" s="177"/>
      <c r="K105" s="177"/>
      <c r="L105" s="177"/>
      <c r="M105" s="177"/>
      <c r="N105" s="177"/>
      <c r="O105" s="161"/>
      <c r="P105" s="195"/>
      <c r="Q105" s="434"/>
      <c r="R105" s="160"/>
      <c r="S105" s="171"/>
      <c r="T105" s="229"/>
    </row>
    <row r="106" spans="1:21">
      <c r="A106" s="727"/>
      <c r="B106" s="780">
        <f>$B$70</f>
        <v>0</v>
      </c>
      <c r="C106" s="771">
        <f>$C$70</f>
        <v>0</v>
      </c>
      <c r="D106" s="771"/>
      <c r="E106" s="446"/>
      <c r="F106" s="446"/>
      <c r="G106" s="447"/>
      <c r="H106" s="447"/>
      <c r="I106" s="447"/>
      <c r="J106" s="447"/>
      <c r="K106" s="447"/>
      <c r="L106" s="447"/>
      <c r="M106" s="447"/>
      <c r="N106" s="447"/>
      <c r="O106" s="448"/>
      <c r="P106" s="428"/>
      <c r="Q106" s="425"/>
      <c r="R106" s="423">
        <f>R90</f>
        <v>0</v>
      </c>
      <c r="S106" s="426">
        <f>S90</f>
        <v>0</v>
      </c>
      <c r="T106" s="441" t="e">
        <f>R106/S106</f>
        <v>#DIV/0!</v>
      </c>
      <c r="U106" s="776"/>
    </row>
    <row r="107" spans="1:21">
      <c r="A107" s="728"/>
      <c r="B107" s="772"/>
      <c r="C107" s="772"/>
      <c r="D107" s="772"/>
      <c r="E107" s="432"/>
      <c r="F107" s="432"/>
      <c r="G107" s="442"/>
      <c r="H107" s="442"/>
      <c r="I107" s="442"/>
      <c r="J107" s="442"/>
      <c r="K107" s="442"/>
      <c r="L107" s="442"/>
      <c r="M107" s="442"/>
      <c r="N107" s="442"/>
      <c r="O107" s="443"/>
      <c r="P107" s="424"/>
      <c r="Q107" s="444"/>
      <c r="R107" s="449"/>
      <c r="S107" s="432"/>
      <c r="T107" s="450"/>
      <c r="U107" s="776" t="s">
        <v>76</v>
      </c>
    </row>
    <row r="108" spans="1:21">
      <c r="A108" s="759" t="s">
        <v>414</v>
      </c>
      <c r="B108" s="155" t="str">
        <f>$B$67</f>
        <v>5층 1-9반</v>
      </c>
      <c r="C108" s="335" t="str">
        <f>C67</f>
        <v>13:03 ~ 13:13</v>
      </c>
      <c r="D108" s="155">
        <v>2</v>
      </c>
      <c r="E108" s="781">
        <v>47.2</v>
      </c>
      <c r="F108" s="781"/>
      <c r="G108" s="781">
        <v>48</v>
      </c>
      <c r="H108" s="781"/>
      <c r="I108" s="782"/>
      <c r="J108" s="782"/>
      <c r="K108" s="782"/>
      <c r="L108" s="782"/>
      <c r="M108" s="782"/>
      <c r="N108" s="782"/>
      <c r="O108" s="176"/>
      <c r="P108" s="309"/>
      <c r="Q108" s="433" t="s">
        <v>470</v>
      </c>
      <c r="R108" s="179">
        <f>MIN(E108:H108)</f>
        <v>47.2</v>
      </c>
      <c r="S108" s="180">
        <f>MAX(E108:H108)</f>
        <v>48</v>
      </c>
      <c r="T108" s="170">
        <f>AVERAGE(E108:H108)</f>
        <v>47.6</v>
      </c>
    </row>
    <row r="109" spans="1:21">
      <c r="A109" s="727"/>
      <c r="B109" s="171" t="str">
        <f>$B$68</f>
        <v>4층 1-7반</v>
      </c>
      <c r="C109" s="171" t="str">
        <f>C68</f>
        <v>13:15 ~ 13:25</v>
      </c>
      <c r="D109" s="171">
        <v>2</v>
      </c>
      <c r="E109" s="783">
        <v>49.2</v>
      </c>
      <c r="F109" s="783"/>
      <c r="G109" s="783">
        <v>48.7</v>
      </c>
      <c r="H109" s="783"/>
      <c r="I109" s="784"/>
      <c r="J109" s="784"/>
      <c r="K109" s="784"/>
      <c r="L109" s="784"/>
      <c r="M109" s="784"/>
      <c r="N109" s="784"/>
      <c r="O109" s="178"/>
      <c r="P109" s="310"/>
      <c r="Q109" s="434"/>
      <c r="R109" s="181">
        <f>MIN(E109:H109)</f>
        <v>48.7</v>
      </c>
      <c r="S109" s="182">
        <f>MAX(E109:H109)</f>
        <v>49.2</v>
      </c>
      <c r="T109" s="172">
        <f>AVERAGE(E109:H109)</f>
        <v>48.95</v>
      </c>
    </row>
    <row r="110" spans="1:21">
      <c r="A110" s="727"/>
      <c r="B110" s="171" t="str">
        <f>$B$69</f>
        <v>2층 (도제)세무실무실습실</v>
      </c>
      <c r="C110" s="171" t="str">
        <f>C69</f>
        <v>13:26 ~ 13:36</v>
      </c>
      <c r="D110" s="171">
        <v>2</v>
      </c>
      <c r="E110" s="783">
        <v>50.1</v>
      </c>
      <c r="F110" s="783"/>
      <c r="G110" s="783">
        <v>50.9</v>
      </c>
      <c r="H110" s="783"/>
      <c r="I110" s="784"/>
      <c r="J110" s="784"/>
      <c r="K110" s="784"/>
      <c r="L110" s="784"/>
      <c r="M110" s="784"/>
      <c r="N110" s="784"/>
      <c r="O110" s="178"/>
      <c r="P110" s="310"/>
      <c r="Q110" s="434"/>
      <c r="R110" s="183">
        <f>MIN(E110:H110)</f>
        <v>50.1</v>
      </c>
      <c r="S110" s="184">
        <f>MAX(E110:H110)</f>
        <v>50.9</v>
      </c>
      <c r="T110" s="174">
        <f>AVERAGE(E110:H110)</f>
        <v>50.5</v>
      </c>
    </row>
    <row r="111" spans="1:21">
      <c r="A111" s="728"/>
      <c r="B111" s="451">
        <f>$B$70</f>
        <v>0</v>
      </c>
      <c r="C111" s="451">
        <f>C70</f>
        <v>0</v>
      </c>
      <c r="D111" s="451">
        <v>2</v>
      </c>
      <c r="E111" s="785"/>
      <c r="F111" s="785"/>
      <c r="G111" s="785"/>
      <c r="H111" s="785"/>
      <c r="I111" s="770"/>
      <c r="J111" s="770"/>
      <c r="K111" s="770"/>
      <c r="L111" s="770"/>
      <c r="M111" s="770"/>
      <c r="N111" s="770"/>
      <c r="O111" s="452"/>
      <c r="P111" s="453"/>
      <c r="Q111" s="444"/>
      <c r="R111" s="454">
        <f>MIN(E111:H111)</f>
        <v>0</v>
      </c>
      <c r="S111" s="455">
        <f>MAX(E111:H111)</f>
        <v>0</v>
      </c>
      <c r="T111" s="438" t="e">
        <f>AVERAGE(E111:H111)</f>
        <v>#DIV/0!</v>
      </c>
      <c r="U111" s="428" t="s">
        <v>76</v>
      </c>
    </row>
    <row r="112" spans="1:21" ht="12" customHeight="1">
      <c r="A112" s="786" t="s">
        <v>357</v>
      </c>
      <c r="B112" s="91" t="str">
        <f>B9</f>
        <v>1층 1-12반</v>
      </c>
      <c r="C112" s="91" t="str">
        <f>C9</f>
        <v>13:12 ~ 14:12</v>
      </c>
      <c r="D112" s="495">
        <v>2</v>
      </c>
      <c r="E112" s="789">
        <f>[1]분석결과시트!$D$54</f>
        <v>14.303684869726011</v>
      </c>
      <c r="F112" s="789"/>
      <c r="G112" s="789">
        <f>[1]분석결과시트!$D$55</f>
        <v>16.788361941885899</v>
      </c>
      <c r="H112" s="789"/>
      <c r="I112" s="761"/>
      <c r="J112" s="761"/>
      <c r="K112" s="761"/>
      <c r="L112" s="761"/>
      <c r="M112" s="761"/>
      <c r="N112" s="761"/>
      <c r="O112" s="156"/>
      <c r="P112" s="311"/>
      <c r="Q112" s="203" t="s">
        <v>471</v>
      </c>
      <c r="R112" s="186">
        <f>MIN(E112:H112)</f>
        <v>14.303684869726011</v>
      </c>
      <c r="S112" s="187">
        <f>MAX(E112:H112)</f>
        <v>16.788361941885899</v>
      </c>
      <c r="T112" s="188">
        <f>AVERAGE(E112:H112)</f>
        <v>15.546023405805954</v>
      </c>
    </row>
    <row r="113" spans="1:20" ht="12" customHeight="1">
      <c r="A113" s="787"/>
      <c r="B113" s="87" t="str">
        <f t="shared" ref="B113:C113" si="35">B10</f>
        <v>2층 2-12반</v>
      </c>
      <c r="C113" s="87" t="str">
        <f t="shared" si="35"/>
        <v>14:05 ~ 15:05</v>
      </c>
      <c r="D113" s="496">
        <v>2</v>
      </c>
      <c r="E113" s="790">
        <f>[1]분석결과시트!$D$52</f>
        <v>7.7332291381190315</v>
      </c>
      <c r="F113" s="791"/>
      <c r="G113" s="790">
        <f>[1]분석결과시트!$D$53</f>
        <v>9.5305230731706221</v>
      </c>
      <c r="H113" s="791"/>
      <c r="I113" s="749"/>
      <c r="J113" s="750"/>
      <c r="K113" s="749"/>
      <c r="L113" s="750"/>
      <c r="M113" s="749"/>
      <c r="N113" s="750"/>
      <c r="O113" s="161"/>
      <c r="P113" s="312"/>
      <c r="Q113" s="204" t="s">
        <v>477</v>
      </c>
      <c r="R113" s="189">
        <f t="shared" ref="R113:R114" si="36">MIN(E113:H113)</f>
        <v>7.7332291381190315</v>
      </c>
      <c r="S113" s="190">
        <f t="shared" ref="S113:S114" si="37">MAX(E113:H113)</f>
        <v>9.5305230731706221</v>
      </c>
      <c r="T113" s="191">
        <f t="shared" ref="T113:T114" si="38">AVERAGE(E113:H113)</f>
        <v>8.6318761056448263</v>
      </c>
    </row>
    <row r="114" spans="1:20">
      <c r="A114" s="788"/>
      <c r="B114" s="89" t="str">
        <f t="shared" ref="B114:C114" si="39">B11</f>
        <v>1층 스포티존</v>
      </c>
      <c r="C114" s="89" t="str">
        <f t="shared" si="39"/>
        <v>13:00 ~ 14:00</v>
      </c>
      <c r="D114" s="497">
        <v>2</v>
      </c>
      <c r="E114" s="792">
        <f>[1]분석결과시트!$D$50</f>
        <v>28.577047358936689</v>
      </c>
      <c r="F114" s="793"/>
      <c r="G114" s="792">
        <f>[1]분석결과시트!$D$51</f>
        <v>26.227584291295798</v>
      </c>
      <c r="H114" s="793"/>
      <c r="I114" s="167"/>
      <c r="J114" s="168"/>
      <c r="K114" s="167"/>
      <c r="L114" s="168"/>
      <c r="M114" s="167"/>
      <c r="N114" s="168"/>
      <c r="O114" s="169"/>
      <c r="P114" s="313"/>
      <c r="Q114" s="205" t="s">
        <v>471</v>
      </c>
      <c r="R114" s="192">
        <f t="shared" si="36"/>
        <v>26.227584291295798</v>
      </c>
      <c r="S114" s="193">
        <f t="shared" si="37"/>
        <v>28.577047358936689</v>
      </c>
      <c r="T114" s="194">
        <f t="shared" si="38"/>
        <v>27.402315825116244</v>
      </c>
    </row>
    <row r="115" spans="1:20" ht="12.75" customHeight="1">
      <c r="A115" s="786" t="s">
        <v>450</v>
      </c>
      <c r="B115" s="91" t="str">
        <f>B112</f>
        <v>1층 1-12반</v>
      </c>
      <c r="C115" s="91" t="str">
        <f>C112</f>
        <v>13:12 ~ 14:12</v>
      </c>
      <c r="D115" s="495">
        <v>2</v>
      </c>
      <c r="E115" s="789">
        <f>[2]분석결과시트!$E$55</f>
        <v>116.77156937706951</v>
      </c>
      <c r="F115" s="789"/>
      <c r="G115" s="789">
        <f>[2]분석결과시트!$E$56</f>
        <v>141.58957404341547</v>
      </c>
      <c r="H115" s="789"/>
      <c r="I115" s="761"/>
      <c r="J115" s="761"/>
      <c r="K115" s="761"/>
      <c r="L115" s="761"/>
      <c r="M115" s="761"/>
      <c r="N115" s="761"/>
      <c r="O115" s="156"/>
      <c r="P115" s="311"/>
      <c r="Q115" s="203" t="s">
        <v>474</v>
      </c>
      <c r="R115" s="186">
        <f>MIN(E115:H115)</f>
        <v>116.77156937706951</v>
      </c>
      <c r="S115" s="187">
        <f>MAX(E115:H115)</f>
        <v>141.58957404341547</v>
      </c>
      <c r="T115" s="188">
        <f>AVERAGE(E115:H115)</f>
        <v>129.18057171024248</v>
      </c>
    </row>
    <row r="116" spans="1:20">
      <c r="A116" s="787"/>
      <c r="B116" s="87" t="str">
        <f t="shared" ref="B116:C116" si="40">B113</f>
        <v>2층 2-12반</v>
      </c>
      <c r="C116" s="87" t="str">
        <f t="shared" si="40"/>
        <v>14:05 ~ 15:05</v>
      </c>
      <c r="D116" s="496">
        <v>2</v>
      </c>
      <c r="E116" s="790">
        <f>[2]분석결과시트!$E$53</f>
        <v>126.04542176616226</v>
      </c>
      <c r="F116" s="791"/>
      <c r="G116" s="790">
        <f>[2]분석결과시트!$E$54</f>
        <v>114.63926240710406</v>
      </c>
      <c r="H116" s="791"/>
      <c r="I116" s="749"/>
      <c r="J116" s="750"/>
      <c r="K116" s="749"/>
      <c r="L116" s="750"/>
      <c r="M116" s="749"/>
      <c r="N116" s="750"/>
      <c r="O116" s="161"/>
      <c r="P116" s="312"/>
      <c r="Q116" s="204" t="s">
        <v>477</v>
      </c>
      <c r="R116" s="189">
        <f t="shared" ref="R116:R117" si="41">MIN(E116:H116)</f>
        <v>114.63926240710406</v>
      </c>
      <c r="S116" s="190">
        <f t="shared" ref="S116:S117" si="42">MAX(E116:H116)</f>
        <v>126.04542176616226</v>
      </c>
      <c r="T116" s="191">
        <f t="shared" ref="T116:T117" si="43">AVERAGE(E116:H116)</f>
        <v>120.34234208663315</v>
      </c>
    </row>
    <row r="117" spans="1:20" ht="16.7" customHeight="1">
      <c r="A117" s="788"/>
      <c r="B117" s="89" t="str">
        <f t="shared" ref="B117:C117" si="44">B114</f>
        <v>1층 스포티존</v>
      </c>
      <c r="C117" s="89" t="str">
        <f t="shared" si="44"/>
        <v>13:00 ~ 14:00</v>
      </c>
      <c r="D117" s="497">
        <v>2</v>
      </c>
      <c r="E117" s="792">
        <f>[2]분석결과시트!$E$51</f>
        <v>155.85074710853817</v>
      </c>
      <c r="F117" s="793"/>
      <c r="G117" s="792">
        <f>[2]분석결과시트!$E$52</f>
        <v>150.27510466198262</v>
      </c>
      <c r="H117" s="793"/>
      <c r="I117" s="167"/>
      <c r="J117" s="168"/>
      <c r="K117" s="167"/>
      <c r="L117" s="168"/>
      <c r="M117" s="167"/>
      <c r="N117" s="168"/>
      <c r="O117" s="169"/>
      <c r="P117" s="313"/>
      <c r="Q117" s="205" t="s">
        <v>474</v>
      </c>
      <c r="R117" s="192">
        <f t="shared" si="41"/>
        <v>150.27510466198262</v>
      </c>
      <c r="S117" s="193">
        <f t="shared" si="42"/>
        <v>155.85074710853817</v>
      </c>
      <c r="T117" s="194">
        <f t="shared" si="43"/>
        <v>153.0629258852604</v>
      </c>
    </row>
    <row r="118" spans="1:20">
      <c r="A118" s="794" t="s">
        <v>446</v>
      </c>
      <c r="B118" s="91" t="str">
        <f>B115</f>
        <v>1층 1-12반</v>
      </c>
      <c r="C118" s="91" t="str">
        <f>C115</f>
        <v>13:12 ~ 14:12</v>
      </c>
      <c r="D118" s="88">
        <v>2</v>
      </c>
      <c r="E118" s="789">
        <f>[2]분석결과시트!$I$55</f>
        <v>23.019175332709118</v>
      </c>
      <c r="F118" s="789"/>
      <c r="G118" s="789">
        <f>[2]분석결과시트!$I$56</f>
        <v>25.933928230297024</v>
      </c>
      <c r="H118" s="789"/>
      <c r="I118" s="761"/>
      <c r="J118" s="761"/>
      <c r="K118" s="761"/>
      <c r="L118" s="761"/>
      <c r="M118" s="761"/>
      <c r="N118" s="761"/>
      <c r="O118" s="156"/>
      <c r="P118" s="311"/>
      <c r="Q118" s="203" t="str">
        <f t="shared" ref="Q118:Q132" si="45">Q115</f>
        <v>KEH-V-01</v>
      </c>
      <c r="R118" s="186">
        <f>MIN(E118:H118)</f>
        <v>23.019175332709118</v>
      </c>
      <c r="S118" s="187">
        <f>MAX(E118:H118)</f>
        <v>25.933928230297024</v>
      </c>
      <c r="T118" s="188">
        <f>AVERAGE(E118:H118)</f>
        <v>24.476551781503069</v>
      </c>
    </row>
    <row r="119" spans="1:20">
      <c r="A119" s="795"/>
      <c r="B119" s="87" t="str">
        <f t="shared" ref="B119:C119" si="46">B116</f>
        <v>2층 2-12반</v>
      </c>
      <c r="C119" s="87" t="str">
        <f t="shared" si="46"/>
        <v>14:05 ~ 15:05</v>
      </c>
      <c r="D119" s="87">
        <v>2</v>
      </c>
      <c r="E119" s="790">
        <f>[2]분석결과시트!$I$53</f>
        <v>24.340938948458433</v>
      </c>
      <c r="F119" s="791"/>
      <c r="G119" s="790">
        <f>[2]분석결과시트!$I$54</f>
        <v>21.788879147195534</v>
      </c>
      <c r="H119" s="791"/>
      <c r="I119" s="749"/>
      <c r="J119" s="750"/>
      <c r="K119" s="749"/>
      <c r="L119" s="750"/>
      <c r="M119" s="749"/>
      <c r="N119" s="750"/>
      <c r="O119" s="161"/>
      <c r="P119" s="312"/>
      <c r="Q119" s="204" t="str">
        <f t="shared" si="45"/>
        <v>KEH-DU-01</v>
      </c>
      <c r="R119" s="189">
        <f t="shared" ref="R119:R120" si="47">MIN(E119:H119)</f>
        <v>21.788879147195534</v>
      </c>
      <c r="S119" s="190">
        <f t="shared" ref="S119:S120" si="48">MAX(E119:H119)</f>
        <v>24.340938948458433</v>
      </c>
      <c r="T119" s="191">
        <f t="shared" ref="T119:T120" si="49">AVERAGE(E119:H119)</f>
        <v>23.064909047826983</v>
      </c>
    </row>
    <row r="120" spans="1:20">
      <c r="A120" s="796"/>
      <c r="B120" s="89" t="str">
        <f t="shared" ref="B120:C120" si="50">B117</f>
        <v>1층 스포티존</v>
      </c>
      <c r="C120" s="89" t="str">
        <f t="shared" si="50"/>
        <v>13:00 ~ 14:00</v>
      </c>
      <c r="D120" s="89">
        <v>2</v>
      </c>
      <c r="E120" s="792">
        <f>[2]분석결과시트!$I$51</f>
        <v>17.332717692440752</v>
      </c>
      <c r="F120" s="793"/>
      <c r="G120" s="797">
        <f>[2]분석결과시트!$I$52</f>
        <v>27.17270338417822</v>
      </c>
      <c r="H120" s="798"/>
      <c r="I120" s="167"/>
      <c r="J120" s="168"/>
      <c r="K120" s="167"/>
      <c r="L120" s="168"/>
      <c r="M120" s="167"/>
      <c r="N120" s="168"/>
      <c r="O120" s="169"/>
      <c r="P120" s="313"/>
      <c r="Q120" s="205" t="str">
        <f t="shared" si="45"/>
        <v>KEH-V-01</v>
      </c>
      <c r="R120" s="192">
        <f t="shared" si="47"/>
        <v>17.332717692440752</v>
      </c>
      <c r="S120" s="193">
        <f t="shared" si="48"/>
        <v>27.17270338417822</v>
      </c>
      <c r="T120" s="194">
        <f t="shared" si="49"/>
        <v>22.252710538309486</v>
      </c>
    </row>
    <row r="121" spans="1:20">
      <c r="A121" s="794" t="s">
        <v>452</v>
      </c>
      <c r="B121" s="91" t="str">
        <f>B118</f>
        <v>1층 1-12반</v>
      </c>
      <c r="C121" s="91" t="str">
        <f>C118</f>
        <v>13:12 ~ 14:12</v>
      </c>
      <c r="D121" s="109">
        <v>2</v>
      </c>
      <c r="E121" s="789">
        <f>[2]분석결과시트!$S$55</f>
        <v>3.209681993269129</v>
      </c>
      <c r="F121" s="789"/>
      <c r="G121" s="789">
        <f>[2]분석결과시트!$S$56</f>
        <v>5.2266940320574484</v>
      </c>
      <c r="H121" s="789"/>
      <c r="I121" s="162"/>
      <c r="J121" s="163"/>
      <c r="K121" s="162"/>
      <c r="L121" s="163"/>
      <c r="M121" s="162"/>
      <c r="N121" s="163"/>
      <c r="O121" s="164"/>
      <c r="P121" s="195"/>
      <c r="Q121" s="203" t="str">
        <f t="shared" si="45"/>
        <v>KEH-V-01</v>
      </c>
      <c r="R121" s="186">
        <f>MIN(E121:H121)</f>
        <v>3.209681993269129</v>
      </c>
      <c r="S121" s="187">
        <f>MAX(E121:H121)</f>
        <v>5.2266940320574484</v>
      </c>
      <c r="T121" s="188">
        <f>AVERAGE(E121:H121)</f>
        <v>4.2181880126632887</v>
      </c>
    </row>
    <row r="122" spans="1:20">
      <c r="A122" s="795"/>
      <c r="B122" s="87" t="str">
        <f t="shared" ref="B122:C122" si="51">B119</f>
        <v>2층 2-12반</v>
      </c>
      <c r="C122" s="87" t="str">
        <f t="shared" si="51"/>
        <v>14:05 ~ 15:05</v>
      </c>
      <c r="D122" s="109">
        <v>2</v>
      </c>
      <c r="E122" s="790">
        <f>[2]분석결과시트!$S$53</f>
        <v>2.8931103696728173</v>
      </c>
      <c r="F122" s="791"/>
      <c r="G122" s="790">
        <f>[2]분석결과시트!$S$54</f>
        <v>2.780353065279999</v>
      </c>
      <c r="H122" s="791"/>
      <c r="I122" s="162"/>
      <c r="J122" s="163"/>
      <c r="K122" s="162"/>
      <c r="L122" s="163"/>
      <c r="M122" s="162"/>
      <c r="N122" s="163"/>
      <c r="O122" s="164"/>
      <c r="P122" s="195"/>
      <c r="Q122" s="204" t="str">
        <f t="shared" si="45"/>
        <v>KEH-DU-01</v>
      </c>
      <c r="R122" s="189">
        <f t="shared" ref="R122:R123" si="52">MIN(E122:H122)</f>
        <v>2.780353065279999</v>
      </c>
      <c r="S122" s="190">
        <f t="shared" ref="S122:S123" si="53">MAX(E122:H122)</f>
        <v>2.8931103696728173</v>
      </c>
      <c r="T122" s="191">
        <f t="shared" ref="T122:T123" si="54">AVERAGE(E122:H122)</f>
        <v>2.8367317174764084</v>
      </c>
    </row>
    <row r="123" spans="1:20">
      <c r="A123" s="796"/>
      <c r="B123" s="89" t="str">
        <f t="shared" ref="B123:C123" si="55">B120</f>
        <v>1층 스포티존</v>
      </c>
      <c r="C123" s="89" t="str">
        <f t="shared" si="55"/>
        <v>13:00 ~ 14:00</v>
      </c>
      <c r="D123" s="109">
        <v>2</v>
      </c>
      <c r="E123" s="792">
        <f>[2]분석결과시트!$S$51</f>
        <v>5.393401591349658</v>
      </c>
      <c r="F123" s="793"/>
      <c r="G123" s="797">
        <f>[2]분석결과시트!$S$52</f>
        <v>3.8468345877681003</v>
      </c>
      <c r="H123" s="798"/>
      <c r="I123" s="162"/>
      <c r="J123" s="163"/>
      <c r="K123" s="162"/>
      <c r="L123" s="163"/>
      <c r="M123" s="162"/>
      <c r="N123" s="163"/>
      <c r="O123" s="164"/>
      <c r="P123" s="195"/>
      <c r="Q123" s="205" t="str">
        <f t="shared" si="45"/>
        <v>KEH-V-01</v>
      </c>
      <c r="R123" s="192">
        <f t="shared" si="52"/>
        <v>3.8468345877681003</v>
      </c>
      <c r="S123" s="193">
        <f t="shared" si="53"/>
        <v>5.393401591349658</v>
      </c>
      <c r="T123" s="194">
        <f t="shared" si="54"/>
        <v>4.6201180895588791</v>
      </c>
    </row>
    <row r="124" spans="1:20">
      <c r="A124" s="794" t="s">
        <v>430</v>
      </c>
      <c r="B124" s="91" t="str">
        <f>B121</f>
        <v>1층 1-12반</v>
      </c>
      <c r="C124" s="91" t="str">
        <f>C121</f>
        <v>13:12 ~ 14:12</v>
      </c>
      <c r="D124" s="88">
        <v>2</v>
      </c>
      <c r="E124" s="789">
        <f>[2]분석결과시트!$N$55</f>
        <v>10.445622820514615</v>
      </c>
      <c r="F124" s="789"/>
      <c r="G124" s="789">
        <f>[2]분석결과시트!$N$56</f>
        <v>12.927162419312991</v>
      </c>
      <c r="H124" s="789"/>
      <c r="I124" s="761"/>
      <c r="J124" s="761"/>
      <c r="K124" s="761"/>
      <c r="L124" s="761"/>
      <c r="M124" s="761"/>
      <c r="N124" s="761"/>
      <c r="O124" s="156"/>
      <c r="P124" s="311"/>
      <c r="Q124" s="203" t="str">
        <f t="shared" si="45"/>
        <v>KEH-V-01</v>
      </c>
      <c r="R124" s="186">
        <f>MIN(E124:H124)</f>
        <v>10.445622820514615</v>
      </c>
      <c r="S124" s="187">
        <f>MAX(E124:H124)</f>
        <v>12.927162419312991</v>
      </c>
      <c r="T124" s="188">
        <f>AVERAGE(E124:H124)</f>
        <v>11.686392619913804</v>
      </c>
    </row>
    <row r="125" spans="1:20">
      <c r="A125" s="795"/>
      <c r="B125" s="87" t="str">
        <f t="shared" ref="B125:C125" si="56">B122</f>
        <v>2층 2-12반</v>
      </c>
      <c r="C125" s="87" t="str">
        <f t="shared" si="56"/>
        <v>14:05 ~ 15:05</v>
      </c>
      <c r="D125" s="87">
        <v>2</v>
      </c>
      <c r="E125" s="790">
        <f>[2]분석결과시트!$N$53</f>
        <v>7.5893834290400202</v>
      </c>
      <c r="F125" s="791"/>
      <c r="G125" s="790">
        <f>[2]분석결과시트!$N$54</f>
        <v>7.8424756427226354</v>
      </c>
      <c r="H125" s="791"/>
      <c r="I125" s="749"/>
      <c r="J125" s="750"/>
      <c r="K125" s="749"/>
      <c r="L125" s="750"/>
      <c r="M125" s="749"/>
      <c r="N125" s="750"/>
      <c r="O125" s="161"/>
      <c r="P125" s="312"/>
      <c r="Q125" s="204" t="str">
        <f t="shared" si="45"/>
        <v>KEH-DU-01</v>
      </c>
      <c r="R125" s="189">
        <f t="shared" ref="R125:R126" si="57">MIN(E125:H125)</f>
        <v>7.5893834290400202</v>
      </c>
      <c r="S125" s="190">
        <f t="shared" ref="S125:S126" si="58">MAX(E125:H125)</f>
        <v>7.8424756427226354</v>
      </c>
      <c r="T125" s="191">
        <f t="shared" ref="T125:T126" si="59">AVERAGE(E125:H125)</f>
        <v>7.7159295358813278</v>
      </c>
    </row>
    <row r="126" spans="1:20">
      <c r="A126" s="796"/>
      <c r="B126" s="89" t="str">
        <f t="shared" ref="B126:C126" si="60">B123</f>
        <v>1층 스포티존</v>
      </c>
      <c r="C126" s="89" t="str">
        <f t="shared" si="60"/>
        <v>13:00 ~ 14:00</v>
      </c>
      <c r="D126" s="89">
        <v>2</v>
      </c>
      <c r="E126" s="792">
        <f>[2]분석결과시트!$N$51</f>
        <v>20.658002632658775</v>
      </c>
      <c r="F126" s="793"/>
      <c r="G126" s="792">
        <f>[2]분석결과시트!$N$52</f>
        <v>18.671660841084371</v>
      </c>
      <c r="H126" s="793"/>
      <c r="I126" s="167"/>
      <c r="J126" s="168"/>
      <c r="K126" s="167"/>
      <c r="L126" s="168"/>
      <c r="M126" s="167"/>
      <c r="N126" s="168"/>
      <c r="O126" s="169"/>
      <c r="P126" s="195"/>
      <c r="Q126" s="205" t="str">
        <f t="shared" si="45"/>
        <v>KEH-V-01</v>
      </c>
      <c r="R126" s="192">
        <f t="shared" si="57"/>
        <v>18.671660841084371</v>
      </c>
      <c r="S126" s="193">
        <f t="shared" si="58"/>
        <v>20.658002632658775</v>
      </c>
      <c r="T126" s="194">
        <f t="shared" si="59"/>
        <v>19.664831736871573</v>
      </c>
    </row>
    <row r="127" spans="1:20">
      <c r="A127" s="794" t="s">
        <v>415</v>
      </c>
      <c r="B127" s="91" t="str">
        <f>B124</f>
        <v>1층 1-12반</v>
      </c>
      <c r="C127" s="91" t="str">
        <f>C124</f>
        <v>13:12 ~ 14:12</v>
      </c>
      <c r="D127" s="88">
        <v>2</v>
      </c>
      <c r="E127" s="789">
        <f>[2]분석결과시트!$X$14</f>
        <v>6.5804780239227458</v>
      </c>
      <c r="F127" s="789"/>
      <c r="G127" s="789">
        <f>[2]분석결과시트!$X$15</f>
        <v>9.7124184541498693</v>
      </c>
      <c r="H127" s="789"/>
      <c r="I127" s="761"/>
      <c r="J127" s="761"/>
      <c r="K127" s="761"/>
      <c r="L127" s="761"/>
      <c r="M127" s="761"/>
      <c r="N127" s="761"/>
      <c r="O127" s="156"/>
      <c r="P127" s="311"/>
      <c r="Q127" s="203" t="str">
        <f t="shared" si="45"/>
        <v>KEH-V-01</v>
      </c>
      <c r="R127" s="186">
        <f>MIN(E127:H127)</f>
        <v>6.5804780239227458</v>
      </c>
      <c r="S127" s="187">
        <f>MAX(E127:H127)</f>
        <v>9.7124184541498693</v>
      </c>
      <c r="T127" s="188">
        <f>AVERAGE(E127:H127)</f>
        <v>8.1464482390363067</v>
      </c>
    </row>
    <row r="128" spans="1:20">
      <c r="A128" s="795"/>
      <c r="B128" s="87" t="str">
        <f t="shared" ref="B128:C128" si="61">B125</f>
        <v>2층 2-12반</v>
      </c>
      <c r="C128" s="87" t="str">
        <f t="shared" si="61"/>
        <v>14:05 ~ 15:05</v>
      </c>
      <c r="D128" s="87">
        <v>2</v>
      </c>
      <c r="E128" s="790">
        <f>[2]분석결과시트!$X$12</f>
        <v>6.838889008883589</v>
      </c>
      <c r="F128" s="791"/>
      <c r="G128" s="790">
        <f>[2]분석결과시트!$X$13</f>
        <v>6.062206451351539</v>
      </c>
      <c r="H128" s="791"/>
      <c r="I128" s="749"/>
      <c r="J128" s="750"/>
      <c r="K128" s="749"/>
      <c r="L128" s="750"/>
      <c r="M128" s="749"/>
      <c r="N128" s="750"/>
      <c r="O128" s="161"/>
      <c r="P128" s="312"/>
      <c r="Q128" s="204" t="str">
        <f t="shared" si="45"/>
        <v>KEH-DU-01</v>
      </c>
      <c r="R128" s="189">
        <f t="shared" ref="R128:R129" si="62">MIN(E128:H128)</f>
        <v>6.062206451351539</v>
      </c>
      <c r="S128" s="190">
        <f t="shared" ref="S128:S129" si="63">MAX(E128:H128)</f>
        <v>6.838889008883589</v>
      </c>
      <c r="T128" s="191">
        <f t="shared" ref="T128:T129" si="64">AVERAGE(E128:H128)</f>
        <v>6.450547730117564</v>
      </c>
    </row>
    <row r="129" spans="1:20" ht="16.7" customHeight="1">
      <c r="A129" s="796"/>
      <c r="B129" s="89" t="str">
        <f t="shared" ref="B129:C129" si="65">B126</f>
        <v>1층 스포티존</v>
      </c>
      <c r="C129" s="89" t="str">
        <f t="shared" si="65"/>
        <v>13:00 ~ 14:00</v>
      </c>
      <c r="D129" s="89">
        <v>2</v>
      </c>
      <c r="E129" s="792">
        <f>[2]분석결과시트!$X$10</f>
        <v>12.599521994407901</v>
      </c>
      <c r="F129" s="793"/>
      <c r="G129" s="792">
        <f>[2]분석결과시트!$X$11</f>
        <v>7.8918895662732664</v>
      </c>
      <c r="H129" s="793"/>
      <c r="I129" s="167"/>
      <c r="J129" s="168"/>
      <c r="K129" s="167"/>
      <c r="L129" s="168"/>
      <c r="M129" s="167"/>
      <c r="N129" s="168"/>
      <c r="O129" s="169"/>
      <c r="P129" s="195"/>
      <c r="Q129" s="205" t="str">
        <f t="shared" si="45"/>
        <v>KEH-V-01</v>
      </c>
      <c r="R129" s="192">
        <f t="shared" si="62"/>
        <v>7.8918895662732664</v>
      </c>
      <c r="S129" s="193">
        <f t="shared" si="63"/>
        <v>12.599521994407901</v>
      </c>
      <c r="T129" s="194">
        <f t="shared" si="64"/>
        <v>10.245705780340584</v>
      </c>
    </row>
    <row r="130" spans="1:20">
      <c r="A130" s="794" t="s">
        <v>420</v>
      </c>
      <c r="B130" s="91" t="str">
        <f>B127</f>
        <v>1층 1-12반</v>
      </c>
      <c r="C130" s="91" t="str">
        <f>C127</f>
        <v>13:12 ~ 14:12</v>
      </c>
      <c r="D130" s="88">
        <v>2</v>
      </c>
      <c r="E130" s="789">
        <f>[2]분석결과시트!$AH$55</f>
        <v>0.94087966173324877</v>
      </c>
      <c r="F130" s="789"/>
      <c r="G130" s="789">
        <f>[2]분석결과시트!$AH$56</f>
        <v>1.4751260030720252</v>
      </c>
      <c r="H130" s="789"/>
      <c r="I130" s="761"/>
      <c r="J130" s="761"/>
      <c r="K130" s="761"/>
      <c r="L130" s="761"/>
      <c r="M130" s="761"/>
      <c r="N130" s="761"/>
      <c r="O130" s="156"/>
      <c r="P130" s="311"/>
      <c r="Q130" s="203" t="str">
        <f t="shared" si="45"/>
        <v>KEH-V-01</v>
      </c>
      <c r="R130" s="186">
        <f>MIN(E130:H130)</f>
        <v>0.94087966173324877</v>
      </c>
      <c r="S130" s="187">
        <f>MAX(E130:H130)</f>
        <v>1.4751260030720252</v>
      </c>
      <c r="T130" s="188">
        <f>AVERAGE(E130:H130)</f>
        <v>1.2080028324026371</v>
      </c>
    </row>
    <row r="131" spans="1:20">
      <c r="A131" s="795"/>
      <c r="B131" s="87" t="str">
        <f t="shared" ref="B131:C131" si="66">B128</f>
        <v>2층 2-12반</v>
      </c>
      <c r="C131" s="87" t="str">
        <f t="shared" si="66"/>
        <v>14:05 ~ 15:05</v>
      </c>
      <c r="D131" s="87">
        <v>2</v>
      </c>
      <c r="E131" s="790">
        <f>[2]분석결과시트!$AH$53</f>
        <v>0.49660870559804471</v>
      </c>
      <c r="F131" s="791"/>
      <c r="G131" s="790">
        <f>[2]분석결과시트!$AH$54</f>
        <v>1.0224146867263504</v>
      </c>
      <c r="H131" s="791"/>
      <c r="I131" s="749"/>
      <c r="J131" s="750"/>
      <c r="K131" s="749"/>
      <c r="L131" s="750"/>
      <c r="M131" s="749"/>
      <c r="N131" s="750"/>
      <c r="O131" s="161"/>
      <c r="P131" s="312"/>
      <c r="Q131" s="204" t="str">
        <f t="shared" si="45"/>
        <v>KEH-DU-01</v>
      </c>
      <c r="R131" s="189">
        <f t="shared" ref="R131:R132" si="67">MIN(E131:H131)</f>
        <v>0.49660870559804471</v>
      </c>
      <c r="S131" s="190">
        <f t="shared" ref="S131:S132" si="68">MAX(E131:H131)</f>
        <v>1.0224146867263504</v>
      </c>
      <c r="T131" s="191">
        <f t="shared" ref="T131:T132" si="69">AVERAGE(E131:H131)</f>
        <v>0.75951169616219749</v>
      </c>
    </row>
    <row r="132" spans="1:20">
      <c r="A132" s="796"/>
      <c r="B132" s="89" t="str">
        <f t="shared" ref="B132:C132" si="70">B129</f>
        <v>1층 스포티존</v>
      </c>
      <c r="C132" s="89" t="str">
        <f t="shared" si="70"/>
        <v>13:00 ~ 14:00</v>
      </c>
      <c r="D132" s="89">
        <v>2</v>
      </c>
      <c r="E132" s="792">
        <f>[2]분석결과시트!$AH$51</f>
        <v>1.0812463118396591</v>
      </c>
      <c r="F132" s="793"/>
      <c r="G132" s="792">
        <f>[2]분석결과시트!$AH$52</f>
        <v>0.85996291814298997</v>
      </c>
      <c r="H132" s="793"/>
      <c r="I132" s="167"/>
      <c r="J132" s="168"/>
      <c r="K132" s="167"/>
      <c r="L132" s="168"/>
      <c r="M132" s="167"/>
      <c r="N132" s="168"/>
      <c r="O132" s="169"/>
      <c r="P132" s="195"/>
      <c r="Q132" s="205" t="str">
        <f t="shared" si="45"/>
        <v>KEH-V-01</v>
      </c>
      <c r="R132" s="192">
        <f t="shared" si="67"/>
        <v>0.85996291814298997</v>
      </c>
      <c r="S132" s="193">
        <f t="shared" si="68"/>
        <v>1.0812463118396591</v>
      </c>
      <c r="T132" s="194">
        <f t="shared" si="69"/>
        <v>0.97060461499132455</v>
      </c>
    </row>
    <row r="133" spans="1:20">
      <c r="B133" s="196"/>
      <c r="C133" s="196"/>
      <c r="D133" s="196"/>
      <c r="E133" s="196"/>
      <c r="F133" s="196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6"/>
      <c r="R133" s="195"/>
      <c r="S133" s="195"/>
      <c r="T133" s="195"/>
    </row>
    <row r="134" spans="1:20" ht="24">
      <c r="A134" s="197" t="s">
        <v>259</v>
      </c>
      <c r="B134" s="339" t="s">
        <v>102</v>
      </c>
      <c r="C134" s="198" t="s">
        <v>494</v>
      </c>
      <c r="D134" s="198" t="s">
        <v>97</v>
      </c>
      <c r="E134" s="336" t="s">
        <v>112</v>
      </c>
      <c r="F134" s="337" t="s">
        <v>206</v>
      </c>
      <c r="G134" s="199"/>
      <c r="H134" s="195"/>
      <c r="I134" s="195"/>
      <c r="J134" s="195"/>
      <c r="K134" s="195"/>
      <c r="L134" s="195"/>
      <c r="M134" s="195"/>
      <c r="N134" s="195"/>
      <c r="O134" s="195" t="s">
        <v>214</v>
      </c>
      <c r="P134" s="195"/>
      <c r="Q134" s="196"/>
      <c r="R134" s="195"/>
      <c r="S134" s="195"/>
      <c r="T134" s="195"/>
    </row>
    <row r="135" spans="1:20">
      <c r="A135" s="90" t="str">
        <f>B33</f>
        <v>5층 2-11반</v>
      </c>
      <c r="B135" s="340">
        <f>E135*100/(C135-D135)</f>
        <v>57.04407951598963</v>
      </c>
      <c r="C135" s="202">
        <f>T33/10000</f>
        <v>8.1466666666666659E-2</v>
      </c>
      <c r="D135" s="202">
        <f>'입력1(학교시설명 등 기본사항 입력) 보고서1,2'!$G$17/10000</f>
        <v>4.2900000000000001E-2</v>
      </c>
      <c r="E135" s="338">
        <v>2.1999999999999999E-2</v>
      </c>
      <c r="F135" s="799" t="s">
        <v>358</v>
      </c>
      <c r="G135" s="799"/>
      <c r="H135" s="200">
        <v>1.0999999999999999E-2</v>
      </c>
      <c r="I135" s="195"/>
      <c r="J135" s="195"/>
      <c r="K135" s="195"/>
      <c r="L135" s="195"/>
      <c r="M135" s="195"/>
      <c r="N135" s="195"/>
      <c r="O135" s="195"/>
      <c r="P135" s="195"/>
      <c r="Q135" s="196"/>
      <c r="R135" s="195"/>
      <c r="S135" s="195"/>
      <c r="T135" s="195"/>
    </row>
    <row r="136" spans="1:20">
      <c r="A136" s="90" t="str">
        <f t="shared" ref="A136:A137" si="71">B34</f>
        <v>4층 2-4반</v>
      </c>
      <c r="B136" s="340">
        <f t="shared" ref="B136:B138" si="72">E136*100/(C136-D136)</f>
        <v>57.996485061511407</v>
      </c>
      <c r="C136" s="202">
        <f t="shared" ref="C136:C138" si="73">T34/10000</f>
        <v>8.083333333333334E-2</v>
      </c>
      <c r="D136" s="202">
        <f>'입력1(학교시설명 등 기본사항 입력) 보고서1,2'!$G$17/10000</f>
        <v>4.2900000000000001E-2</v>
      </c>
      <c r="E136" s="338">
        <v>2.1999999999999999E-2</v>
      </c>
      <c r="F136" s="799" t="s">
        <v>364</v>
      </c>
      <c r="G136" s="799"/>
      <c r="H136" s="200">
        <v>1.6E-2</v>
      </c>
      <c r="I136" s="195"/>
      <c r="J136" s="195"/>
      <c r="K136" s="195"/>
      <c r="L136" s="195"/>
      <c r="M136" s="195"/>
      <c r="N136" s="195"/>
      <c r="O136" s="195"/>
      <c r="P136" s="195"/>
      <c r="Q136" s="196"/>
      <c r="R136" s="195"/>
      <c r="S136" s="195"/>
      <c r="T136" s="195"/>
    </row>
    <row r="137" spans="1:20" ht="24">
      <c r="A137" s="90" t="str">
        <f t="shared" si="71"/>
        <v>1층 (도제)회계실무실습실</v>
      </c>
      <c r="B137" s="340">
        <f t="shared" si="72"/>
        <v>70.739549839228303</v>
      </c>
      <c r="C137" s="202">
        <f t="shared" si="73"/>
        <v>7.3999999999999996E-2</v>
      </c>
      <c r="D137" s="202">
        <f>'입력1(학교시설명 등 기본사항 입력) 보고서1,2'!$G$17/10000</f>
        <v>4.2900000000000001E-2</v>
      </c>
      <c r="E137" s="338">
        <v>2.1999999999999999E-2</v>
      </c>
      <c r="F137" s="799" t="s">
        <v>150</v>
      </c>
      <c r="G137" s="799"/>
      <c r="H137" s="200">
        <v>2.1999999999999999E-2</v>
      </c>
      <c r="I137" s="195"/>
      <c r="J137" s="195"/>
      <c r="K137" s="195"/>
      <c r="L137" s="195"/>
      <c r="M137" s="195"/>
      <c r="N137" s="195"/>
      <c r="O137" s="195"/>
      <c r="P137" s="195"/>
      <c r="Q137" s="196"/>
      <c r="R137" s="195"/>
      <c r="S137" s="195"/>
      <c r="T137" s="195"/>
    </row>
    <row r="138" spans="1:20">
      <c r="A138" s="456">
        <f>B36</f>
        <v>0</v>
      </c>
      <c r="B138" s="457" t="e">
        <f t="shared" si="72"/>
        <v>#DIV/0!</v>
      </c>
      <c r="C138" s="458" t="e">
        <f t="shared" si="73"/>
        <v>#DIV/0!</v>
      </c>
      <c r="D138" s="458">
        <f>'입력1(학교시설명 등 기본사항 입력) 보고서1,2'!$G$17/10000</f>
        <v>4.2900000000000001E-2</v>
      </c>
      <c r="E138" s="459">
        <v>1.0999999999999999E-2</v>
      </c>
      <c r="F138" s="374" t="s">
        <v>137</v>
      </c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6"/>
      <c r="R138" s="195"/>
      <c r="S138" s="195"/>
      <c r="T138" s="195"/>
    </row>
    <row r="139" spans="1:20">
      <c r="B139" s="196"/>
      <c r="C139" s="196"/>
      <c r="D139" s="196"/>
      <c r="E139" s="196"/>
      <c r="F139" s="196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6"/>
      <c r="R139" s="195"/>
      <c r="S139" s="195"/>
      <c r="T139" s="195"/>
    </row>
    <row r="140" spans="1:20">
      <c r="B140" s="196"/>
      <c r="C140" s="196"/>
      <c r="D140" s="196"/>
      <c r="E140" s="196"/>
      <c r="F140" s="196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6"/>
      <c r="R140" s="195"/>
      <c r="S140" s="195"/>
      <c r="T140" s="195"/>
    </row>
    <row r="141" spans="1:20">
      <c r="B141" s="196"/>
      <c r="C141" s="196"/>
      <c r="D141" s="196"/>
      <c r="E141" s="196"/>
      <c r="F141" s="196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6"/>
      <c r="R141" s="195"/>
      <c r="S141" s="195"/>
      <c r="T141" s="195"/>
    </row>
    <row r="142" spans="1:20">
      <c r="B142" s="196"/>
      <c r="C142" s="196"/>
      <c r="D142" s="196"/>
      <c r="E142" s="196"/>
      <c r="F142" s="196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6"/>
      <c r="R142" s="195"/>
      <c r="S142" s="195"/>
      <c r="T142" s="195"/>
    </row>
    <row r="143" spans="1:20">
      <c r="B143" s="196"/>
      <c r="C143" s="196"/>
      <c r="D143" s="196"/>
      <c r="E143" s="196"/>
      <c r="F143" s="196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6"/>
      <c r="R143" s="195"/>
      <c r="S143" s="195"/>
      <c r="T143" s="195"/>
    </row>
    <row r="144" spans="1:20">
      <c r="B144" s="196"/>
      <c r="C144" s="196"/>
      <c r="D144" s="196"/>
      <c r="E144" s="196"/>
      <c r="F144" s="196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6"/>
      <c r="R144" s="195"/>
      <c r="S144" s="195"/>
      <c r="T144" s="195"/>
    </row>
    <row r="145" spans="2:20">
      <c r="B145" s="196"/>
      <c r="C145" s="196"/>
      <c r="D145" s="196"/>
      <c r="E145" s="196"/>
      <c r="F145" s="196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6"/>
      <c r="R145" s="195"/>
      <c r="S145" s="195"/>
      <c r="T145" s="195"/>
    </row>
    <row r="146" spans="2:20">
      <c r="B146" s="196"/>
      <c r="C146" s="196"/>
      <c r="D146" s="196"/>
      <c r="E146" s="196"/>
      <c r="F146" s="196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6"/>
      <c r="R146" s="195"/>
      <c r="S146" s="195"/>
      <c r="T146" s="195"/>
    </row>
    <row r="147" spans="2:20">
      <c r="B147" s="196"/>
      <c r="C147" s="196"/>
      <c r="D147" s="196"/>
      <c r="E147" s="196"/>
      <c r="F147" s="196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6"/>
      <c r="R147" s="195"/>
      <c r="S147" s="195"/>
      <c r="T147" s="195"/>
    </row>
    <row r="148" spans="2:20">
      <c r="B148" s="196"/>
      <c r="C148" s="196"/>
      <c r="D148" s="196"/>
      <c r="E148" s="196"/>
      <c r="F148" s="196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6"/>
      <c r="R148" s="195"/>
      <c r="S148" s="195"/>
      <c r="T148" s="195"/>
    </row>
    <row r="149" spans="2:20">
      <c r="B149" s="196"/>
      <c r="C149" s="196"/>
      <c r="D149" s="196"/>
      <c r="E149" s="196"/>
      <c r="F149" s="196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6"/>
      <c r="R149" s="195"/>
      <c r="S149" s="195"/>
      <c r="T149" s="195"/>
    </row>
    <row r="150" spans="2:20">
      <c r="B150" s="196"/>
      <c r="C150" s="196"/>
      <c r="D150" s="196"/>
      <c r="E150" s="196"/>
      <c r="F150" s="196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6"/>
      <c r="R150" s="195"/>
      <c r="S150" s="195"/>
      <c r="T150" s="195"/>
    </row>
    <row r="151" spans="2:20">
      <c r="B151" s="196"/>
      <c r="C151" s="196"/>
      <c r="D151" s="196"/>
      <c r="E151" s="196"/>
      <c r="F151" s="196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6"/>
      <c r="R151" s="195"/>
      <c r="S151" s="195"/>
      <c r="T151" s="195"/>
    </row>
    <row r="152" spans="2:20">
      <c r="B152" s="196"/>
      <c r="C152" s="196"/>
      <c r="D152" s="196"/>
      <c r="E152" s="196"/>
      <c r="F152" s="196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6"/>
      <c r="R152" s="195"/>
      <c r="S152" s="195"/>
      <c r="T152" s="195"/>
    </row>
    <row r="153" spans="2:20">
      <c r="B153" s="196"/>
      <c r="C153" s="196"/>
      <c r="D153" s="196"/>
      <c r="E153" s="196"/>
      <c r="F153" s="196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6"/>
      <c r="R153" s="195"/>
      <c r="S153" s="195"/>
      <c r="T153" s="195"/>
    </row>
    <row r="154" spans="2:20">
      <c r="B154" s="196"/>
      <c r="C154" s="196"/>
      <c r="D154" s="196"/>
      <c r="E154" s="196"/>
      <c r="F154" s="196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6"/>
      <c r="R154" s="195"/>
      <c r="S154" s="195"/>
      <c r="T154" s="195"/>
    </row>
    <row r="155" spans="2:20">
      <c r="B155" s="196"/>
      <c r="C155" s="196"/>
      <c r="D155" s="196"/>
      <c r="E155" s="196"/>
      <c r="F155" s="196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6"/>
      <c r="R155" s="195"/>
      <c r="S155" s="195"/>
      <c r="T155" s="195"/>
    </row>
    <row r="156" spans="2:20">
      <c r="B156" s="196"/>
      <c r="C156" s="196"/>
      <c r="D156" s="196"/>
      <c r="E156" s="196"/>
      <c r="F156" s="196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6"/>
      <c r="R156" s="195"/>
      <c r="S156" s="195"/>
      <c r="T156" s="195"/>
    </row>
    <row r="157" spans="2:20">
      <c r="B157" s="196"/>
      <c r="C157" s="196"/>
      <c r="D157" s="196"/>
      <c r="E157" s="196"/>
      <c r="F157" s="196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6"/>
      <c r="R157" s="195"/>
      <c r="S157" s="195"/>
      <c r="T157" s="195"/>
    </row>
  </sheetData>
  <mergeCells count="684">
    <mergeCell ref="F135:G135"/>
    <mergeCell ref="F136:G136"/>
    <mergeCell ref="F137:G137"/>
    <mergeCell ref="A130:A132"/>
    <mergeCell ref="E130:F130"/>
    <mergeCell ref="G130:H130"/>
    <mergeCell ref="I130:J130"/>
    <mergeCell ref="K130:L130"/>
    <mergeCell ref="M130:N130"/>
    <mergeCell ref="E131:F131"/>
    <mergeCell ref="G131:H131"/>
    <mergeCell ref="I131:J131"/>
    <mergeCell ref="K131:L131"/>
    <mergeCell ref="M131:N131"/>
    <mergeCell ref="E132:F132"/>
    <mergeCell ref="G132:H132"/>
    <mergeCell ref="A127:A129"/>
    <mergeCell ref="E127:F127"/>
    <mergeCell ref="G127:H127"/>
    <mergeCell ref="I127:J127"/>
    <mergeCell ref="K127:L127"/>
    <mergeCell ref="M127:N127"/>
    <mergeCell ref="E128:F128"/>
    <mergeCell ref="G128:H128"/>
    <mergeCell ref="I128:J128"/>
    <mergeCell ref="K128:L128"/>
    <mergeCell ref="M128:N128"/>
    <mergeCell ref="E129:F129"/>
    <mergeCell ref="G129:H129"/>
    <mergeCell ref="I124:J124"/>
    <mergeCell ref="K124:L124"/>
    <mergeCell ref="M124:N124"/>
    <mergeCell ref="E125:F125"/>
    <mergeCell ref="G125:H125"/>
    <mergeCell ref="I125:J125"/>
    <mergeCell ref="K125:L125"/>
    <mergeCell ref="M125:N125"/>
    <mergeCell ref="E126:F126"/>
    <mergeCell ref="G126:H126"/>
    <mergeCell ref="A121:A123"/>
    <mergeCell ref="E121:F121"/>
    <mergeCell ref="G121:H121"/>
    <mergeCell ref="E122:F122"/>
    <mergeCell ref="G122:H122"/>
    <mergeCell ref="E123:F123"/>
    <mergeCell ref="G123:H123"/>
    <mergeCell ref="A124:A126"/>
    <mergeCell ref="E124:F124"/>
    <mergeCell ref="G124:H124"/>
    <mergeCell ref="A118:A120"/>
    <mergeCell ref="E118:F118"/>
    <mergeCell ref="G118:H118"/>
    <mergeCell ref="I118:J118"/>
    <mergeCell ref="K118:L118"/>
    <mergeCell ref="M118:N118"/>
    <mergeCell ref="E119:F119"/>
    <mergeCell ref="G119:H119"/>
    <mergeCell ref="I119:J119"/>
    <mergeCell ref="K119:L119"/>
    <mergeCell ref="M119:N119"/>
    <mergeCell ref="E120:F120"/>
    <mergeCell ref="G120:H120"/>
    <mergeCell ref="A115:A117"/>
    <mergeCell ref="E115:F115"/>
    <mergeCell ref="G115:H115"/>
    <mergeCell ref="I115:J115"/>
    <mergeCell ref="K115:L115"/>
    <mergeCell ref="M115:N115"/>
    <mergeCell ref="E116:F116"/>
    <mergeCell ref="G116:H116"/>
    <mergeCell ref="I116:J116"/>
    <mergeCell ref="K116:L116"/>
    <mergeCell ref="M116:N116"/>
    <mergeCell ref="E117:F117"/>
    <mergeCell ref="G117:H117"/>
    <mergeCell ref="A112:A114"/>
    <mergeCell ref="E112:F112"/>
    <mergeCell ref="G112:H112"/>
    <mergeCell ref="I112:J112"/>
    <mergeCell ref="K112:L112"/>
    <mergeCell ref="M112:N112"/>
    <mergeCell ref="E113:F113"/>
    <mergeCell ref="G113:H113"/>
    <mergeCell ref="I113:J113"/>
    <mergeCell ref="K113:L113"/>
    <mergeCell ref="M113:N113"/>
    <mergeCell ref="E114:F114"/>
    <mergeCell ref="G114:H114"/>
    <mergeCell ref="U106:U107"/>
    <mergeCell ref="A108:A111"/>
    <mergeCell ref="E108:F108"/>
    <mergeCell ref="G108:H108"/>
    <mergeCell ref="I108:J108"/>
    <mergeCell ref="K108:L108"/>
    <mergeCell ref="M108:N108"/>
    <mergeCell ref="E109:F109"/>
    <mergeCell ref="G109:H109"/>
    <mergeCell ref="I109:J109"/>
    <mergeCell ref="K109:L109"/>
    <mergeCell ref="M109:N109"/>
    <mergeCell ref="E110:F110"/>
    <mergeCell ref="G110:H110"/>
    <mergeCell ref="I110:J110"/>
    <mergeCell ref="K110:L110"/>
    <mergeCell ref="M110:N110"/>
    <mergeCell ref="E111:F111"/>
    <mergeCell ref="G111:H111"/>
    <mergeCell ref="I111:J111"/>
    <mergeCell ref="K111:L111"/>
    <mergeCell ref="M111:N111"/>
    <mergeCell ref="A100:A107"/>
    <mergeCell ref="B100:B101"/>
    <mergeCell ref="C100:C101"/>
    <mergeCell ref="D100:D101"/>
    <mergeCell ref="B102:B103"/>
    <mergeCell ref="C102:C103"/>
    <mergeCell ref="D102:D103"/>
    <mergeCell ref="B104:B105"/>
    <mergeCell ref="C104:C105"/>
    <mergeCell ref="D104:D105"/>
    <mergeCell ref="B106:B107"/>
    <mergeCell ref="C106:C107"/>
    <mergeCell ref="D106:D107"/>
    <mergeCell ref="U90:U91"/>
    <mergeCell ref="E91:F91"/>
    <mergeCell ref="G91:H91"/>
    <mergeCell ref="I91:J91"/>
    <mergeCell ref="K91:L91"/>
    <mergeCell ref="A92:A99"/>
    <mergeCell ref="B92:B93"/>
    <mergeCell ref="C92:C93"/>
    <mergeCell ref="D92:D93"/>
    <mergeCell ref="B94:B95"/>
    <mergeCell ref="C94:C95"/>
    <mergeCell ref="D94:D95"/>
    <mergeCell ref="B96:B97"/>
    <mergeCell ref="C96:C97"/>
    <mergeCell ref="D96:D97"/>
    <mergeCell ref="B98:B99"/>
    <mergeCell ref="C98:C99"/>
    <mergeCell ref="D98:D99"/>
    <mergeCell ref="U98:U99"/>
    <mergeCell ref="A84:A91"/>
    <mergeCell ref="B84:B85"/>
    <mergeCell ref="C84:C85"/>
    <mergeCell ref="D84:D85"/>
    <mergeCell ref="M85:N85"/>
    <mergeCell ref="S88:S89"/>
    <mergeCell ref="T88:T89"/>
    <mergeCell ref="E89:F89"/>
    <mergeCell ref="G89:H89"/>
    <mergeCell ref="I89:J89"/>
    <mergeCell ref="K89:L89"/>
    <mergeCell ref="M89:N89"/>
    <mergeCell ref="B90:B91"/>
    <mergeCell ref="C90:C91"/>
    <mergeCell ref="D90:D91"/>
    <mergeCell ref="E90:F90"/>
    <mergeCell ref="G90:H90"/>
    <mergeCell ref="I90:J90"/>
    <mergeCell ref="K90:L90"/>
    <mergeCell ref="M90:N90"/>
    <mergeCell ref="R90:R91"/>
    <mergeCell ref="S90:S91"/>
    <mergeCell ref="T90:T91"/>
    <mergeCell ref="B88:B89"/>
    <mergeCell ref="C88:C89"/>
    <mergeCell ref="D88:D89"/>
    <mergeCell ref="E88:F88"/>
    <mergeCell ref="G88:H88"/>
    <mergeCell ref="I88:J88"/>
    <mergeCell ref="K88:L88"/>
    <mergeCell ref="M88:N88"/>
    <mergeCell ref="R88:R89"/>
    <mergeCell ref="D86:D87"/>
    <mergeCell ref="E86:F86"/>
    <mergeCell ref="G86:H86"/>
    <mergeCell ref="I86:J86"/>
    <mergeCell ref="K86:L86"/>
    <mergeCell ref="M86:N86"/>
    <mergeCell ref="R86:R87"/>
    <mergeCell ref="G87:H87"/>
    <mergeCell ref="I87:J87"/>
    <mergeCell ref="K87:L87"/>
    <mergeCell ref="M87:N87"/>
    <mergeCell ref="U82:U83"/>
    <mergeCell ref="E83:F83"/>
    <mergeCell ref="G83:H83"/>
    <mergeCell ref="I83:J83"/>
    <mergeCell ref="K83:L83"/>
    <mergeCell ref="E84:F84"/>
    <mergeCell ref="G84:H84"/>
    <mergeCell ref="I84:J84"/>
    <mergeCell ref="K84:L84"/>
    <mergeCell ref="M84:N84"/>
    <mergeCell ref="R84:R85"/>
    <mergeCell ref="S84:S85"/>
    <mergeCell ref="T84:T85"/>
    <mergeCell ref="E85:F85"/>
    <mergeCell ref="G85:H85"/>
    <mergeCell ref="I85:J85"/>
    <mergeCell ref="K85:L85"/>
    <mergeCell ref="B86:B87"/>
    <mergeCell ref="C86:C87"/>
    <mergeCell ref="R80:R81"/>
    <mergeCell ref="S80:S81"/>
    <mergeCell ref="T80:T81"/>
    <mergeCell ref="E81:F81"/>
    <mergeCell ref="G81:H81"/>
    <mergeCell ref="I81:J81"/>
    <mergeCell ref="K81:L81"/>
    <mergeCell ref="M81:N81"/>
    <mergeCell ref="B82:B83"/>
    <mergeCell ref="C82:C83"/>
    <mergeCell ref="D82:D83"/>
    <mergeCell ref="E82:F82"/>
    <mergeCell ref="G82:H82"/>
    <mergeCell ref="I82:J82"/>
    <mergeCell ref="K82:L82"/>
    <mergeCell ref="M82:N82"/>
    <mergeCell ref="R82:R83"/>
    <mergeCell ref="S82:S83"/>
    <mergeCell ref="T82:T83"/>
    <mergeCell ref="S86:S87"/>
    <mergeCell ref="T86:T87"/>
    <mergeCell ref="E87:F87"/>
    <mergeCell ref="R76:R77"/>
    <mergeCell ref="S76:S77"/>
    <mergeCell ref="T76:T77"/>
    <mergeCell ref="E77:F77"/>
    <mergeCell ref="G77:H77"/>
    <mergeCell ref="I77:J77"/>
    <mergeCell ref="K77:L77"/>
    <mergeCell ref="M77:N77"/>
    <mergeCell ref="B78:B79"/>
    <mergeCell ref="C78:C79"/>
    <mergeCell ref="D78:D79"/>
    <mergeCell ref="E78:F78"/>
    <mergeCell ref="G78:H78"/>
    <mergeCell ref="I78:J78"/>
    <mergeCell ref="K78:L78"/>
    <mergeCell ref="M78:N78"/>
    <mergeCell ref="R78:R79"/>
    <mergeCell ref="S78:S79"/>
    <mergeCell ref="T78:T79"/>
    <mergeCell ref="E79:F79"/>
    <mergeCell ref="G79:H79"/>
    <mergeCell ref="I79:J79"/>
    <mergeCell ref="K79:L79"/>
    <mergeCell ref="M79:N79"/>
    <mergeCell ref="A76:A83"/>
    <mergeCell ref="B76:B77"/>
    <mergeCell ref="C76:C77"/>
    <mergeCell ref="D76:D77"/>
    <mergeCell ref="E76:F76"/>
    <mergeCell ref="G76:H76"/>
    <mergeCell ref="I76:J76"/>
    <mergeCell ref="K76:L76"/>
    <mergeCell ref="M76:N76"/>
    <mergeCell ref="B80:B81"/>
    <mergeCell ref="C80:C81"/>
    <mergeCell ref="D80:D81"/>
    <mergeCell ref="E80:F80"/>
    <mergeCell ref="G80:H80"/>
    <mergeCell ref="I80:J80"/>
    <mergeCell ref="K80:L80"/>
    <mergeCell ref="M80:N80"/>
    <mergeCell ref="Q72:Q75"/>
    <mergeCell ref="E73:F73"/>
    <mergeCell ref="G73:H73"/>
    <mergeCell ref="I73:J73"/>
    <mergeCell ref="K73:L73"/>
    <mergeCell ref="M73:N73"/>
    <mergeCell ref="E75:F75"/>
    <mergeCell ref="G75:H75"/>
    <mergeCell ref="I75:J75"/>
    <mergeCell ref="K75:L75"/>
    <mergeCell ref="M75:N75"/>
    <mergeCell ref="E71:F71"/>
    <mergeCell ref="G71:H71"/>
    <mergeCell ref="I71:J71"/>
    <mergeCell ref="A72:A75"/>
    <mergeCell ref="E72:F72"/>
    <mergeCell ref="G72:H72"/>
    <mergeCell ref="I72:J72"/>
    <mergeCell ref="K72:L72"/>
    <mergeCell ref="M72:N72"/>
    <mergeCell ref="E66:F66"/>
    <mergeCell ref="G66:H66"/>
    <mergeCell ref="I66:J66"/>
    <mergeCell ref="K66:L66"/>
    <mergeCell ref="M66:N66"/>
    <mergeCell ref="A67:A71"/>
    <mergeCell ref="E67:F67"/>
    <mergeCell ref="G67:H67"/>
    <mergeCell ref="I67:J67"/>
    <mergeCell ref="K67:L67"/>
    <mergeCell ref="M67:N67"/>
    <mergeCell ref="E68:F68"/>
    <mergeCell ref="G68:H68"/>
    <mergeCell ref="I68:J68"/>
    <mergeCell ref="K68:L68"/>
    <mergeCell ref="M68:N68"/>
    <mergeCell ref="E69:F69"/>
    <mergeCell ref="G69:H69"/>
    <mergeCell ref="I69:J69"/>
    <mergeCell ref="E70:F70"/>
    <mergeCell ref="G70:H70"/>
    <mergeCell ref="I70:J70"/>
    <mergeCell ref="K70:L70"/>
    <mergeCell ref="M70:N70"/>
    <mergeCell ref="A63:A65"/>
    <mergeCell ref="E63:F63"/>
    <mergeCell ref="G63:H63"/>
    <mergeCell ref="I63:J63"/>
    <mergeCell ref="K63:L63"/>
    <mergeCell ref="M63:N63"/>
    <mergeCell ref="Q63:Q65"/>
    <mergeCell ref="E64:F64"/>
    <mergeCell ref="G64:H64"/>
    <mergeCell ref="I64:J64"/>
    <mergeCell ref="K64:L64"/>
    <mergeCell ref="M64:N64"/>
    <mergeCell ref="E65:F65"/>
    <mergeCell ref="I65:J65"/>
    <mergeCell ref="K65:L65"/>
    <mergeCell ref="M65:N65"/>
    <mergeCell ref="A56:F56"/>
    <mergeCell ref="G56:H56"/>
    <mergeCell ref="I56:J56"/>
    <mergeCell ref="K56:L56"/>
    <mergeCell ref="M56:P56"/>
    <mergeCell ref="A57:A62"/>
    <mergeCell ref="E57:F57"/>
    <mergeCell ref="E58:F58"/>
    <mergeCell ref="E59:F59"/>
    <mergeCell ref="E60:F60"/>
    <mergeCell ref="E61:F61"/>
    <mergeCell ref="E62:F62"/>
    <mergeCell ref="AG54:AH54"/>
    <mergeCell ref="AI54:AJ54"/>
    <mergeCell ref="E55:F55"/>
    <mergeCell ref="G55:H55"/>
    <mergeCell ref="I55:J55"/>
    <mergeCell ref="K55:L55"/>
    <mergeCell ref="M55:N55"/>
    <mergeCell ref="U55:V55"/>
    <mergeCell ref="W55:X55"/>
    <mergeCell ref="AA55:AB55"/>
    <mergeCell ref="AC55:AD55"/>
    <mergeCell ref="AG55:AH55"/>
    <mergeCell ref="AI55:AJ55"/>
    <mergeCell ref="E54:F54"/>
    <mergeCell ref="G54:H54"/>
    <mergeCell ref="I54:J54"/>
    <mergeCell ref="K54:L54"/>
    <mergeCell ref="M54:N54"/>
    <mergeCell ref="U54:V54"/>
    <mergeCell ref="W54:X54"/>
    <mergeCell ref="AA54:AB54"/>
    <mergeCell ref="AC54:AD54"/>
    <mergeCell ref="AC52:AD52"/>
    <mergeCell ref="AG52:AH52"/>
    <mergeCell ref="AI52:AJ52"/>
    <mergeCell ref="E53:F53"/>
    <mergeCell ref="G53:H53"/>
    <mergeCell ref="I53:J53"/>
    <mergeCell ref="K53:L53"/>
    <mergeCell ref="M53:N53"/>
    <mergeCell ref="U53:V53"/>
    <mergeCell ref="W53:X53"/>
    <mergeCell ref="AA53:AB53"/>
    <mergeCell ref="AC53:AD53"/>
    <mergeCell ref="AG53:AH53"/>
    <mergeCell ref="AI53:AJ53"/>
    <mergeCell ref="AM50:AM51"/>
    <mergeCell ref="E51:F51"/>
    <mergeCell ref="G51:H51"/>
    <mergeCell ref="I51:J51"/>
    <mergeCell ref="K51:L51"/>
    <mergeCell ref="M51:N51"/>
    <mergeCell ref="U51:V51"/>
    <mergeCell ref="W51:X51"/>
    <mergeCell ref="AA51:AB51"/>
    <mergeCell ref="AC51:AD51"/>
    <mergeCell ref="AG51:AH51"/>
    <mergeCell ref="AI51:AJ51"/>
    <mergeCell ref="AG49:AH49"/>
    <mergeCell ref="AI49:AJ49"/>
    <mergeCell ref="A50:A55"/>
    <mergeCell ref="B50:B51"/>
    <mergeCell ref="C50:C51"/>
    <mergeCell ref="D50:D51"/>
    <mergeCell ref="E50:H50"/>
    <mergeCell ref="I50:L50"/>
    <mergeCell ref="M50:O50"/>
    <mergeCell ref="Q50:Q51"/>
    <mergeCell ref="R50:R51"/>
    <mergeCell ref="S50:S51"/>
    <mergeCell ref="T50:T51"/>
    <mergeCell ref="U50:Z50"/>
    <mergeCell ref="AA50:AF50"/>
    <mergeCell ref="AG50:AL50"/>
    <mergeCell ref="E52:F52"/>
    <mergeCell ref="G52:H52"/>
    <mergeCell ref="I52:J52"/>
    <mergeCell ref="K52:L52"/>
    <mergeCell ref="M52:N52"/>
    <mergeCell ref="U52:V52"/>
    <mergeCell ref="W52:X52"/>
    <mergeCell ref="AA52:AB52"/>
    <mergeCell ref="E49:F49"/>
    <mergeCell ref="G49:H49"/>
    <mergeCell ref="I49:J49"/>
    <mergeCell ref="K49:L49"/>
    <mergeCell ref="M49:N49"/>
    <mergeCell ref="U49:V49"/>
    <mergeCell ref="W49:X49"/>
    <mergeCell ref="AA49:AB49"/>
    <mergeCell ref="AC49:AD49"/>
    <mergeCell ref="AG47:AH47"/>
    <mergeCell ref="AI47:AJ47"/>
    <mergeCell ref="E48:F48"/>
    <mergeCell ref="G48:H48"/>
    <mergeCell ref="I48:J48"/>
    <mergeCell ref="K48:L48"/>
    <mergeCell ref="M48:N48"/>
    <mergeCell ref="U48:V48"/>
    <mergeCell ref="W48:X48"/>
    <mergeCell ref="AA48:AB48"/>
    <mergeCell ref="AC48:AD48"/>
    <mergeCell ref="AG48:AH48"/>
    <mergeCell ref="AI48:AJ48"/>
    <mergeCell ref="E47:F47"/>
    <mergeCell ref="G47:H47"/>
    <mergeCell ref="I47:J47"/>
    <mergeCell ref="K47:L47"/>
    <mergeCell ref="M47:N47"/>
    <mergeCell ref="U47:V47"/>
    <mergeCell ref="W47:X47"/>
    <mergeCell ref="AA47:AB47"/>
    <mergeCell ref="AC47:AD47"/>
    <mergeCell ref="K45:L45"/>
    <mergeCell ref="M45:N45"/>
    <mergeCell ref="U45:V45"/>
    <mergeCell ref="W45:X45"/>
    <mergeCell ref="AA45:AB45"/>
    <mergeCell ref="AC45:AD45"/>
    <mergeCell ref="AG45:AH45"/>
    <mergeCell ref="AI45:AJ45"/>
    <mergeCell ref="E46:F46"/>
    <mergeCell ref="G46:H46"/>
    <mergeCell ref="I46:J46"/>
    <mergeCell ref="K46:L46"/>
    <mergeCell ref="M46:N46"/>
    <mergeCell ref="U46:V46"/>
    <mergeCell ref="W46:X46"/>
    <mergeCell ref="AA46:AB46"/>
    <mergeCell ref="AC46:AD46"/>
    <mergeCell ref="AG46:AH46"/>
    <mergeCell ref="AI46:AJ46"/>
    <mergeCell ref="U42:AM42"/>
    <mergeCell ref="E43:F43"/>
    <mergeCell ref="G43:I43"/>
    <mergeCell ref="J43:L43"/>
    <mergeCell ref="M43:N43"/>
    <mergeCell ref="U43:AL43"/>
    <mergeCell ref="A44:A49"/>
    <mergeCell ref="B44:B45"/>
    <mergeCell ref="C44:C45"/>
    <mergeCell ref="D44:D45"/>
    <mergeCell ref="E44:H44"/>
    <mergeCell ref="I44:L44"/>
    <mergeCell ref="M44:O44"/>
    <mergeCell ref="Q44:Q45"/>
    <mergeCell ref="R44:R45"/>
    <mergeCell ref="S44:S45"/>
    <mergeCell ref="T44:T45"/>
    <mergeCell ref="U44:Z44"/>
    <mergeCell ref="AA44:AF44"/>
    <mergeCell ref="AG44:AL44"/>
    <mergeCell ref="AM44:AM45"/>
    <mergeCell ref="E45:F45"/>
    <mergeCell ref="G45:H45"/>
    <mergeCell ref="I45:J45"/>
    <mergeCell ref="A41:A43"/>
    <mergeCell ref="E41:F41"/>
    <mergeCell ref="G41:I41"/>
    <mergeCell ref="J41:L41"/>
    <mergeCell ref="M41:N41"/>
    <mergeCell ref="O41:O43"/>
    <mergeCell ref="E42:F42"/>
    <mergeCell ref="G42:I42"/>
    <mergeCell ref="J42:L42"/>
    <mergeCell ref="M42:N42"/>
    <mergeCell ref="O38:O40"/>
    <mergeCell ref="E39:F39"/>
    <mergeCell ref="G39:I39"/>
    <mergeCell ref="J39:L39"/>
    <mergeCell ref="M39:N39"/>
    <mergeCell ref="E40:F40"/>
    <mergeCell ref="G40:I40"/>
    <mergeCell ref="J40:L40"/>
    <mergeCell ref="M40:N40"/>
    <mergeCell ref="I30:J30"/>
    <mergeCell ref="A28:A32"/>
    <mergeCell ref="E28:F28"/>
    <mergeCell ref="G28:H28"/>
    <mergeCell ref="A38:A40"/>
    <mergeCell ref="E38:F38"/>
    <mergeCell ref="G38:I38"/>
    <mergeCell ref="J38:L38"/>
    <mergeCell ref="M38:N38"/>
    <mergeCell ref="A33:A37"/>
    <mergeCell ref="E33:F33"/>
    <mergeCell ref="G33:I33"/>
    <mergeCell ref="J33:L33"/>
    <mergeCell ref="M33:N33"/>
    <mergeCell ref="E34:F34"/>
    <mergeCell ref="G34:I34"/>
    <mergeCell ref="E37:F37"/>
    <mergeCell ref="G37:I37"/>
    <mergeCell ref="J37:L37"/>
    <mergeCell ref="E31:F31"/>
    <mergeCell ref="G31:H31"/>
    <mergeCell ref="I31:J31"/>
    <mergeCell ref="K31:L31"/>
    <mergeCell ref="M31:N31"/>
    <mergeCell ref="E32:F32"/>
    <mergeCell ref="G32:H32"/>
    <mergeCell ref="I32:J32"/>
    <mergeCell ref="J34:L34"/>
    <mergeCell ref="M34:N34"/>
    <mergeCell ref="E35:F35"/>
    <mergeCell ref="G35:I35"/>
    <mergeCell ref="J35:L35"/>
    <mergeCell ref="E36:F36"/>
    <mergeCell ref="G36:I36"/>
    <mergeCell ref="J36:L36"/>
    <mergeCell ref="M36:N36"/>
    <mergeCell ref="K30:L30"/>
    <mergeCell ref="M30:N30"/>
    <mergeCell ref="K32:L32"/>
    <mergeCell ref="M32:N32"/>
    <mergeCell ref="S24:S25"/>
    <mergeCell ref="T24:T25"/>
    <mergeCell ref="E25:F25"/>
    <mergeCell ref="G25:H25"/>
    <mergeCell ref="I25:J25"/>
    <mergeCell ref="K25:L25"/>
    <mergeCell ref="M25:N25"/>
    <mergeCell ref="S26:S27"/>
    <mergeCell ref="T26:T27"/>
    <mergeCell ref="R24:R25"/>
    <mergeCell ref="I28:J28"/>
    <mergeCell ref="K28:L28"/>
    <mergeCell ref="M28:N28"/>
    <mergeCell ref="E29:F29"/>
    <mergeCell ref="G29:H29"/>
    <mergeCell ref="I29:J29"/>
    <mergeCell ref="K29:L29"/>
    <mergeCell ref="M29:N29"/>
    <mergeCell ref="E30:F30"/>
    <mergeCell ref="G30:H30"/>
    <mergeCell ref="B26:B27"/>
    <mergeCell ref="C26:C27"/>
    <mergeCell ref="D26:D27"/>
    <mergeCell ref="E26:F26"/>
    <mergeCell ref="G26:H26"/>
    <mergeCell ref="I26:J26"/>
    <mergeCell ref="K26:L26"/>
    <mergeCell ref="M26:N26"/>
    <mergeCell ref="R26:R27"/>
    <mergeCell ref="E27:F27"/>
    <mergeCell ref="G27:H27"/>
    <mergeCell ref="I27:J27"/>
    <mergeCell ref="K27:L27"/>
    <mergeCell ref="M27:N27"/>
    <mergeCell ref="K23:L23"/>
    <mergeCell ref="M23:N23"/>
    <mergeCell ref="B24:B25"/>
    <mergeCell ref="C24:C25"/>
    <mergeCell ref="D24:D25"/>
    <mergeCell ref="E24:F24"/>
    <mergeCell ref="G24:H24"/>
    <mergeCell ref="I24:J24"/>
    <mergeCell ref="K24:L24"/>
    <mergeCell ref="M24:N24"/>
    <mergeCell ref="A19:A27"/>
    <mergeCell ref="E19:F19"/>
    <mergeCell ref="G19:H19"/>
    <mergeCell ref="I19:J19"/>
    <mergeCell ref="K19:L19"/>
    <mergeCell ref="M19:N19"/>
    <mergeCell ref="E20:F20"/>
    <mergeCell ref="G20:H20"/>
    <mergeCell ref="I20:J20"/>
    <mergeCell ref="K20:L20"/>
    <mergeCell ref="M20:N20"/>
    <mergeCell ref="E21:F21"/>
    <mergeCell ref="G21:H21"/>
    <mergeCell ref="I21:J21"/>
    <mergeCell ref="K21:L21"/>
    <mergeCell ref="M21:N21"/>
    <mergeCell ref="E22:F22"/>
    <mergeCell ref="G22:H22"/>
    <mergeCell ref="I22:J22"/>
    <mergeCell ref="K22:L22"/>
    <mergeCell ref="M22:N22"/>
    <mergeCell ref="E23:F23"/>
    <mergeCell ref="G23:H23"/>
    <mergeCell ref="I23:J23"/>
    <mergeCell ref="U16:U18"/>
    <mergeCell ref="E17:F17"/>
    <mergeCell ref="G17:I17"/>
    <mergeCell ref="J17:L17"/>
    <mergeCell ref="M17:N17"/>
    <mergeCell ref="E18:F18"/>
    <mergeCell ref="G18:I18"/>
    <mergeCell ref="J18:L18"/>
    <mergeCell ref="M18:N18"/>
    <mergeCell ref="A12:A17"/>
    <mergeCell ref="E12:F12"/>
    <mergeCell ref="G12:I12"/>
    <mergeCell ref="J12:L12"/>
    <mergeCell ref="M12:N12"/>
    <mergeCell ref="E13:F13"/>
    <mergeCell ref="G13:I13"/>
    <mergeCell ref="J13:L13"/>
    <mergeCell ref="M13:N13"/>
    <mergeCell ref="E14:F14"/>
    <mergeCell ref="G14:I14"/>
    <mergeCell ref="J14:L14"/>
    <mergeCell ref="M14:N14"/>
    <mergeCell ref="E15:F15"/>
    <mergeCell ref="G15:I15"/>
    <mergeCell ref="J15:L15"/>
    <mergeCell ref="M15:N15"/>
    <mergeCell ref="E16:F16"/>
    <mergeCell ref="G16:I16"/>
    <mergeCell ref="J16:L16"/>
    <mergeCell ref="M16:N16"/>
    <mergeCell ref="U9:U11"/>
    <mergeCell ref="E10:F10"/>
    <mergeCell ref="G10:I10"/>
    <mergeCell ref="J10:L10"/>
    <mergeCell ref="M10:N10"/>
    <mergeCell ref="E11:F11"/>
    <mergeCell ref="G11:I11"/>
    <mergeCell ref="J11:L11"/>
    <mergeCell ref="M11:N11"/>
    <mergeCell ref="A5:A11"/>
    <mergeCell ref="E5:F5"/>
    <mergeCell ref="G5:I5"/>
    <mergeCell ref="J5:L5"/>
    <mergeCell ref="M5:N5"/>
    <mergeCell ref="E6:F6"/>
    <mergeCell ref="G6:I6"/>
    <mergeCell ref="J6:L6"/>
    <mergeCell ref="M6:N6"/>
    <mergeCell ref="E7:F7"/>
    <mergeCell ref="G7:I7"/>
    <mergeCell ref="J7:L7"/>
    <mergeCell ref="M7:N7"/>
    <mergeCell ref="E8:F8"/>
    <mergeCell ref="G8:I8"/>
    <mergeCell ref="J8:L8"/>
    <mergeCell ref="M8:N8"/>
    <mergeCell ref="E9:F9"/>
    <mergeCell ref="G9:I9"/>
    <mergeCell ref="J9:L9"/>
    <mergeCell ref="M9:N9"/>
    <mergeCell ref="A2:A4"/>
    <mergeCell ref="B2:C2"/>
    <mergeCell ref="D2:D4"/>
    <mergeCell ref="E2:N2"/>
    <mergeCell ref="O2:O4"/>
    <mergeCell ref="R2:R4"/>
    <mergeCell ref="S2:S4"/>
    <mergeCell ref="T2:T4"/>
    <mergeCell ref="B3:B4"/>
    <mergeCell ref="C3:C4"/>
    <mergeCell ref="E3:L4"/>
    <mergeCell ref="M3:N4"/>
  </mergeCells>
  <phoneticPr fontId="37" type="noConversion"/>
  <pageMargins left="0.74805557727813721" right="0.74805557727813721" top="0.98430556058883667" bottom="0.98430556058883667" header="0.51138889789581299" footer="0.51138889789581299"/>
  <pageSetup paperSize="9" scale="42" fitToWidth="0" fitToHeight="0" orientation="portrait" r:id="rId1"/>
  <rowBreaks count="1" manualBreakCount="1">
    <brk id="139" max="1048575" man="1"/>
  </rowBreaks>
  <colBreaks count="1" manualBreakCount="1">
    <brk id="20" max="163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F843A"/>
  </sheetPr>
  <dimension ref="A1:W174"/>
  <sheetViews>
    <sheetView view="pageBreakPreview" topLeftCell="A48" zoomScaleNormal="100" zoomScaleSheetLayoutView="100" workbookViewId="0">
      <selection activeCell="I57" sqref="I57"/>
    </sheetView>
  </sheetViews>
  <sheetFormatPr defaultColWidth="9" defaultRowHeight="16.5"/>
  <cols>
    <col min="1" max="1" width="12.75" customWidth="1"/>
    <col min="2" max="2" width="20.5" style="47" customWidth="1"/>
    <col min="3" max="3" width="14.5" style="47" customWidth="1"/>
    <col min="4" max="4" width="12" style="326" customWidth="1"/>
    <col min="5" max="7" width="12" style="47" customWidth="1"/>
    <col min="8" max="8" width="15" style="47" customWidth="1"/>
    <col min="9" max="9" width="12" style="47" customWidth="1"/>
    <col min="10" max="12" width="12.5" style="47" customWidth="1"/>
    <col min="13" max="13" width="14.375" style="47" customWidth="1"/>
    <col min="14" max="15" width="12.5" style="47" customWidth="1"/>
    <col min="16" max="16" width="12.5" customWidth="1"/>
  </cols>
  <sheetData>
    <row r="1" spans="1:16" ht="70.5" customHeight="1">
      <c r="A1" s="803" t="s">
        <v>9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</row>
    <row r="2" spans="1:16" ht="28.5" customHeight="1">
      <c r="A2" s="805" t="s">
        <v>148</v>
      </c>
      <c r="B2" s="805" t="s">
        <v>168</v>
      </c>
      <c r="C2" s="805"/>
      <c r="D2" s="327" t="s">
        <v>239</v>
      </c>
      <c r="E2" s="805" t="s">
        <v>126</v>
      </c>
      <c r="F2" s="805"/>
      <c r="G2" s="805"/>
      <c r="H2" s="805" t="s">
        <v>91</v>
      </c>
      <c r="I2" s="805" t="s">
        <v>53</v>
      </c>
      <c r="J2" s="805" t="s">
        <v>140</v>
      </c>
      <c r="K2" s="805"/>
      <c r="L2" s="805"/>
      <c r="M2" s="805"/>
      <c r="N2" s="805"/>
      <c r="O2" s="800" t="s">
        <v>103</v>
      </c>
      <c r="P2" s="805" t="s">
        <v>191</v>
      </c>
    </row>
    <row r="3" spans="1:16" ht="18.75" customHeight="1">
      <c r="A3" s="805"/>
      <c r="B3" s="805" t="s">
        <v>141</v>
      </c>
      <c r="C3" s="805" t="s">
        <v>128</v>
      </c>
      <c r="D3" s="806" t="s">
        <v>199</v>
      </c>
      <c r="E3" s="805" t="s">
        <v>218</v>
      </c>
      <c r="F3" s="805" t="s">
        <v>185</v>
      </c>
      <c r="G3" s="805" t="s">
        <v>183</v>
      </c>
      <c r="H3" s="805"/>
      <c r="I3" s="805"/>
      <c r="J3" s="800" t="s">
        <v>118</v>
      </c>
      <c r="K3" s="805" t="s">
        <v>277</v>
      </c>
      <c r="L3" s="805" t="s">
        <v>290</v>
      </c>
      <c r="M3" s="800" t="s">
        <v>174</v>
      </c>
      <c r="N3" s="800" t="s">
        <v>87</v>
      </c>
      <c r="O3" s="801"/>
      <c r="P3" s="805"/>
    </row>
    <row r="4" spans="1:16" ht="18.75" customHeight="1">
      <c r="A4" s="805"/>
      <c r="B4" s="805"/>
      <c r="C4" s="805"/>
      <c r="D4" s="806"/>
      <c r="E4" s="805"/>
      <c r="F4" s="805"/>
      <c r="G4" s="805"/>
      <c r="H4" s="805"/>
      <c r="I4" s="805"/>
      <c r="J4" s="802"/>
      <c r="K4" s="805"/>
      <c r="L4" s="805"/>
      <c r="M4" s="802"/>
      <c r="N4" s="802"/>
      <c r="O4" s="802"/>
      <c r="P4" s="805"/>
    </row>
    <row r="5" spans="1:16" ht="46.5" customHeight="1">
      <c r="A5" s="800" t="s">
        <v>347</v>
      </c>
      <c r="B5" s="127" t="str">
        <f>'입력2(측정)'!B19</f>
        <v>5층 2-11반</v>
      </c>
      <c r="C5" s="127" t="str">
        <f>'입력2(측정)'!C19</f>
        <v>14:02 ~ 14:12</v>
      </c>
      <c r="D5" s="327">
        <f>'입력2(측정)'!D19</f>
        <v>5</v>
      </c>
      <c r="E5" s="123">
        <f>'입력2(측정)'!R19</f>
        <v>11</v>
      </c>
      <c r="F5" s="123">
        <f>'입력2(측정)'!S19</f>
        <v>13</v>
      </c>
      <c r="G5" s="123">
        <f>'입력2(측정)'!T19</f>
        <v>11.8</v>
      </c>
      <c r="H5" s="122" t="s">
        <v>416</v>
      </c>
      <c r="I5" s="122" t="str">
        <f>IF(G5&gt;75,"부적합","적합")</f>
        <v>적합</v>
      </c>
      <c r="J5" s="800" t="s">
        <v>79</v>
      </c>
      <c r="K5" s="800" t="s">
        <v>86</v>
      </c>
      <c r="L5" s="800" t="s">
        <v>462</v>
      </c>
      <c r="M5" s="800" t="s">
        <v>332</v>
      </c>
      <c r="N5" s="800" t="s">
        <v>496</v>
      </c>
      <c r="O5" s="800" t="s">
        <v>85</v>
      </c>
      <c r="P5" s="800"/>
    </row>
    <row r="6" spans="1:16" s="46" customFormat="1" ht="46.5" customHeight="1">
      <c r="A6" s="801"/>
      <c r="B6" s="127" t="str">
        <f>'입력2(측정)'!B20</f>
        <v>4층 2-4반</v>
      </c>
      <c r="C6" s="127" t="str">
        <f>'입력2(측정)'!C20</f>
        <v>14:13 ~ 14:23</v>
      </c>
      <c r="D6" s="327">
        <f>'입력2(측정)'!D20</f>
        <v>5</v>
      </c>
      <c r="E6" s="123">
        <f>'입력2(측정)'!R20</f>
        <v>16</v>
      </c>
      <c r="F6" s="123">
        <f>'입력2(측정)'!S20</f>
        <v>18</v>
      </c>
      <c r="G6" s="123">
        <f>'입력2(측정)'!T20</f>
        <v>16.8</v>
      </c>
      <c r="H6" s="122" t="s">
        <v>416</v>
      </c>
      <c r="I6" s="122" t="str">
        <f>IF(G6&gt;75,"부적합","적합")</f>
        <v>적합</v>
      </c>
      <c r="J6" s="801"/>
      <c r="K6" s="801"/>
      <c r="L6" s="801"/>
      <c r="M6" s="801"/>
      <c r="N6" s="801"/>
      <c r="O6" s="801"/>
      <c r="P6" s="801"/>
    </row>
    <row r="7" spans="1:16" s="46" customFormat="1" ht="46.5" customHeight="1">
      <c r="A7" s="801"/>
      <c r="B7" s="127" t="str">
        <f>'입력2(측정)'!B21</f>
        <v>1층 (도제)회계실무실습실</v>
      </c>
      <c r="C7" s="127" t="str">
        <f>'입력2(측정)'!C21</f>
        <v>15:00 ~ 15:10</v>
      </c>
      <c r="D7" s="327">
        <f>'입력2(측정)'!D21</f>
        <v>5</v>
      </c>
      <c r="E7" s="123">
        <f>'입력2(측정)'!R21</f>
        <v>13</v>
      </c>
      <c r="F7" s="123">
        <f>'입력2(측정)'!S21</f>
        <v>15</v>
      </c>
      <c r="G7" s="123">
        <f>'입력2(측정)'!T21</f>
        <v>14.2</v>
      </c>
      <c r="H7" s="122" t="s">
        <v>416</v>
      </c>
      <c r="I7" s="122" t="str">
        <f>IF(G7&gt;75,"부적합","적합")</f>
        <v>적합</v>
      </c>
      <c r="J7" s="801"/>
      <c r="K7" s="801"/>
      <c r="L7" s="801"/>
      <c r="M7" s="801"/>
      <c r="N7" s="801"/>
      <c r="O7" s="801"/>
      <c r="P7" s="801"/>
    </row>
    <row r="8" spans="1:16" s="46" customFormat="1" ht="46.5" customHeight="1">
      <c r="A8" s="801"/>
      <c r="B8" s="127" t="s">
        <v>187</v>
      </c>
      <c r="C8" s="127" t="s">
        <v>187</v>
      </c>
      <c r="D8" s="327" t="s">
        <v>187</v>
      </c>
      <c r="E8" s="123" t="s">
        <v>187</v>
      </c>
      <c r="F8" s="123" t="s">
        <v>187</v>
      </c>
      <c r="G8" s="123" t="s">
        <v>187</v>
      </c>
      <c r="H8" s="122" t="s">
        <v>187</v>
      </c>
      <c r="I8" s="122" t="s">
        <v>187</v>
      </c>
      <c r="J8" s="801"/>
      <c r="K8" s="801"/>
      <c r="L8" s="801"/>
      <c r="M8" s="801"/>
      <c r="N8" s="801"/>
      <c r="O8" s="801"/>
      <c r="P8" s="801"/>
    </row>
    <row r="9" spans="1:16" s="46" customFormat="1" ht="46.5" customHeight="1">
      <c r="A9" s="801"/>
      <c r="B9" s="127" t="str">
        <f>'입력2(측정)'!B23</f>
        <v>급식시설</v>
      </c>
      <c r="C9" s="127" t="str">
        <f>'입력2(측정)'!C23</f>
        <v>14:46 ~ 14:56</v>
      </c>
      <c r="D9" s="327">
        <f>'입력2(측정)'!D23</f>
        <v>5</v>
      </c>
      <c r="E9" s="123">
        <f>'입력2(측정)'!R23</f>
        <v>14</v>
      </c>
      <c r="F9" s="123">
        <f>'입력2(측정)'!S23</f>
        <v>18</v>
      </c>
      <c r="G9" s="123">
        <f>'입력2(측정)'!T23</f>
        <v>15.8</v>
      </c>
      <c r="H9" s="122" t="s">
        <v>416</v>
      </c>
      <c r="I9" s="122" t="str">
        <f>IF(G9&gt;75,"부적합","적합")</f>
        <v>적합</v>
      </c>
      <c r="J9" s="801"/>
      <c r="K9" s="801"/>
      <c r="L9" s="801"/>
      <c r="M9" s="801"/>
      <c r="N9" s="801"/>
      <c r="O9" s="801"/>
      <c r="P9" s="801"/>
    </row>
    <row r="10" spans="1:16" s="46" customFormat="1" ht="46.5" customHeight="1">
      <c r="A10" s="801"/>
      <c r="B10" s="127" t="str">
        <f>'입력2(측정)'!B24</f>
        <v>체육관</v>
      </c>
      <c r="C10" s="127" t="str">
        <f>'입력2(측정)'!C24</f>
        <v>13:38 ~ 13:48</v>
      </c>
      <c r="D10" s="327">
        <f>'입력2(측정)'!D24</f>
        <v>10</v>
      </c>
      <c r="E10" s="123">
        <f>'입력2(측정)'!R24</f>
        <v>23</v>
      </c>
      <c r="F10" s="123">
        <f>'입력2(측정)'!S24</f>
        <v>27</v>
      </c>
      <c r="G10" s="123">
        <f>'입력2(측정)'!T24</f>
        <v>24.9</v>
      </c>
      <c r="H10" s="122" t="s">
        <v>476</v>
      </c>
      <c r="I10" s="122" t="str">
        <f>IF(G10&gt;150,"부적합","적합")</f>
        <v>적합</v>
      </c>
      <c r="J10" s="801"/>
      <c r="K10" s="801"/>
      <c r="L10" s="801"/>
      <c r="M10" s="801"/>
      <c r="N10" s="801"/>
      <c r="O10" s="801"/>
      <c r="P10" s="801"/>
    </row>
    <row r="11" spans="1:16" s="46" customFormat="1" ht="46.5" customHeight="1">
      <c r="A11" s="802"/>
      <c r="B11" s="127" t="s">
        <v>187</v>
      </c>
      <c r="C11" s="127" t="s">
        <v>187</v>
      </c>
      <c r="D11" s="327" t="s">
        <v>187</v>
      </c>
      <c r="E11" s="123" t="s">
        <v>187</v>
      </c>
      <c r="F11" s="123" t="s">
        <v>187</v>
      </c>
      <c r="G11" s="123" t="s">
        <v>187</v>
      </c>
      <c r="H11" s="122" t="s">
        <v>187</v>
      </c>
      <c r="I11" s="122" t="s">
        <v>187</v>
      </c>
      <c r="J11" s="802"/>
      <c r="K11" s="802"/>
      <c r="L11" s="802"/>
      <c r="M11" s="802"/>
      <c r="N11" s="802"/>
      <c r="O11" s="802"/>
      <c r="P11" s="802"/>
    </row>
    <row r="12" spans="1:16" s="46" customFormat="1" ht="46.5" customHeight="1">
      <c r="A12" s="805" t="s">
        <v>309</v>
      </c>
      <c r="B12" s="127" t="str">
        <f>'입력2(측정)'!B28</f>
        <v>5층 2-11반</v>
      </c>
      <c r="C12" s="127" t="str">
        <f>'입력2(측정)'!C28</f>
        <v>14:02 ~ 14:12</v>
      </c>
      <c r="D12" s="127">
        <f>'입력2(측정)'!D28</f>
        <v>5</v>
      </c>
      <c r="E12" s="123">
        <f>'입력2(측정)'!R28</f>
        <v>10</v>
      </c>
      <c r="F12" s="123">
        <f>'입력2(측정)'!S28</f>
        <v>12</v>
      </c>
      <c r="G12" s="123">
        <f>'입력2(측정)'!T28</f>
        <v>10.8</v>
      </c>
      <c r="H12" s="122" t="s">
        <v>411</v>
      </c>
      <c r="I12" s="122" t="str">
        <f>IF(G12&gt;35,"부적합","적합")</f>
        <v>적합</v>
      </c>
      <c r="J12" s="800" t="s">
        <v>79</v>
      </c>
      <c r="K12" s="800" t="s">
        <v>86</v>
      </c>
      <c r="L12" s="800" t="s">
        <v>462</v>
      </c>
      <c r="M12" s="800" t="s">
        <v>332</v>
      </c>
      <c r="N12" s="800" t="s">
        <v>496</v>
      </c>
      <c r="O12" s="800" t="s">
        <v>85</v>
      </c>
      <c r="P12" s="800" t="s">
        <v>208</v>
      </c>
    </row>
    <row r="13" spans="1:16" s="46" customFormat="1" ht="46.5" customHeight="1">
      <c r="A13" s="805"/>
      <c r="B13" s="127" t="str">
        <f>'입력2(측정)'!B29</f>
        <v>4층 2-4반</v>
      </c>
      <c r="C13" s="127" t="str">
        <f>'입력2(측정)'!C29</f>
        <v>14:13 ~ 14:23</v>
      </c>
      <c r="D13" s="127">
        <f>'입력2(측정)'!D29</f>
        <v>5</v>
      </c>
      <c r="E13" s="123">
        <f>'입력2(측정)'!R29</f>
        <v>15</v>
      </c>
      <c r="F13" s="123">
        <f>'입력2(측정)'!S29</f>
        <v>17</v>
      </c>
      <c r="G13" s="123">
        <f>'입력2(측정)'!T29</f>
        <v>15.8</v>
      </c>
      <c r="H13" s="122" t="s">
        <v>411</v>
      </c>
      <c r="I13" s="122" t="str">
        <f>IF(G13&gt;35,"부적합","적합")</f>
        <v>적합</v>
      </c>
      <c r="J13" s="801"/>
      <c r="K13" s="801"/>
      <c r="L13" s="801"/>
      <c r="M13" s="801"/>
      <c r="N13" s="801"/>
      <c r="O13" s="801"/>
      <c r="P13" s="801"/>
    </row>
    <row r="14" spans="1:16" s="46" customFormat="1" ht="46.5" customHeight="1">
      <c r="A14" s="805"/>
      <c r="B14" s="127" t="str">
        <f>'입력2(측정)'!B30</f>
        <v>1층 (도제)회계실무실습실</v>
      </c>
      <c r="C14" s="127" t="str">
        <f>'입력2(측정)'!C30</f>
        <v>15:00 ~ 15:10</v>
      </c>
      <c r="D14" s="127">
        <f>'입력2(측정)'!D30</f>
        <v>5</v>
      </c>
      <c r="E14" s="123">
        <f>'입력2(측정)'!R30</f>
        <v>12</v>
      </c>
      <c r="F14" s="123">
        <f>'입력2(측정)'!S30</f>
        <v>14</v>
      </c>
      <c r="G14" s="123">
        <f>'입력2(측정)'!T30</f>
        <v>13.2</v>
      </c>
      <c r="H14" s="122" t="s">
        <v>411</v>
      </c>
      <c r="I14" s="122" t="str">
        <f>IF(G14&gt;35,"부적합","적합")</f>
        <v>적합</v>
      </c>
      <c r="J14" s="801"/>
      <c r="K14" s="801"/>
      <c r="L14" s="801"/>
      <c r="M14" s="801"/>
      <c r="N14" s="801"/>
      <c r="O14" s="801"/>
      <c r="P14" s="801"/>
    </row>
    <row r="15" spans="1:16" s="46" customFormat="1" ht="46.5" customHeight="1">
      <c r="A15" s="805"/>
      <c r="B15" s="127" t="s">
        <v>187</v>
      </c>
      <c r="C15" s="127" t="s">
        <v>187</v>
      </c>
      <c r="D15" s="327" t="s">
        <v>187</v>
      </c>
      <c r="E15" s="123" t="s">
        <v>187</v>
      </c>
      <c r="F15" s="123" t="s">
        <v>187</v>
      </c>
      <c r="G15" s="123" t="s">
        <v>187</v>
      </c>
      <c r="H15" s="122" t="s">
        <v>187</v>
      </c>
      <c r="I15" s="122" t="s">
        <v>187</v>
      </c>
      <c r="J15" s="801"/>
      <c r="K15" s="801"/>
      <c r="L15" s="801"/>
      <c r="M15" s="801"/>
      <c r="N15" s="801"/>
      <c r="O15" s="801"/>
      <c r="P15" s="801"/>
    </row>
    <row r="16" spans="1:16" s="46" customFormat="1" ht="46.5" customHeight="1">
      <c r="A16" s="805"/>
      <c r="B16" s="127" t="str">
        <f>'입력2(측정)'!B32</f>
        <v>급식시설</v>
      </c>
      <c r="C16" s="127" t="str">
        <f>'입력2(측정)'!C32</f>
        <v>14:46 ~ 14:56</v>
      </c>
      <c r="D16" s="127">
        <f>'입력2(측정)'!D32</f>
        <v>5</v>
      </c>
      <c r="E16" s="123">
        <f>'입력2(측정)'!R32</f>
        <v>13</v>
      </c>
      <c r="F16" s="123">
        <f>'입력2(측정)'!S32</f>
        <v>17</v>
      </c>
      <c r="G16" s="123">
        <f>'입력2(측정)'!T32</f>
        <v>14.8</v>
      </c>
      <c r="H16" s="122" t="s">
        <v>411</v>
      </c>
      <c r="I16" s="122" t="str">
        <f>IF(G16&gt;35,"부적합","적합")</f>
        <v>적합</v>
      </c>
      <c r="J16" s="802"/>
      <c r="K16" s="802"/>
      <c r="L16" s="802"/>
      <c r="M16" s="802"/>
      <c r="N16" s="802"/>
      <c r="O16" s="802"/>
      <c r="P16" s="802"/>
    </row>
    <row r="17" spans="1:16" s="46" customFormat="1" ht="46.5" customHeight="1">
      <c r="A17" s="800" t="s">
        <v>331</v>
      </c>
      <c r="B17" s="127" t="str">
        <f>'입력2(측정)'!B33</f>
        <v>5층 2-11반</v>
      </c>
      <c r="C17" s="127" t="str">
        <f>'입력2(측정)'!C33</f>
        <v>14:02 ~ 14:12</v>
      </c>
      <c r="D17" s="327">
        <f>'입력2(측정)'!D33</f>
        <v>3</v>
      </c>
      <c r="E17" s="123">
        <f>'입력2(측정)'!R33</f>
        <v>786</v>
      </c>
      <c r="F17" s="123">
        <f>'입력2(측정)'!S33</f>
        <v>842</v>
      </c>
      <c r="G17" s="123">
        <f>'입력2(측정)'!T33</f>
        <v>814.66666666666663</v>
      </c>
      <c r="H17" s="122" t="s">
        <v>435</v>
      </c>
      <c r="I17" s="122" t="str">
        <f>IF(G17&gt;1000,"부적합","적합")</f>
        <v>적합</v>
      </c>
      <c r="J17" s="800" t="s">
        <v>79</v>
      </c>
      <c r="K17" s="800" t="s">
        <v>86</v>
      </c>
      <c r="L17" s="800" t="s">
        <v>462</v>
      </c>
      <c r="M17" s="800" t="s">
        <v>332</v>
      </c>
      <c r="N17" s="800" t="s">
        <v>496</v>
      </c>
      <c r="O17" s="800" t="s">
        <v>160</v>
      </c>
      <c r="P17" s="800" t="s">
        <v>208</v>
      </c>
    </row>
    <row r="18" spans="1:16" s="46" customFormat="1" ht="46.5" customHeight="1">
      <c r="A18" s="801"/>
      <c r="B18" s="127" t="str">
        <f>'입력2(측정)'!B34</f>
        <v>4층 2-4반</v>
      </c>
      <c r="C18" s="127" t="str">
        <f>'입력2(측정)'!C34</f>
        <v>14:13 ~ 14:23</v>
      </c>
      <c r="D18" s="327">
        <f>'입력2(측정)'!D34</f>
        <v>3</v>
      </c>
      <c r="E18" s="123">
        <f>'입력2(측정)'!R34</f>
        <v>763</v>
      </c>
      <c r="F18" s="123">
        <f>'입력2(측정)'!S34</f>
        <v>843</v>
      </c>
      <c r="G18" s="123">
        <f>'입력2(측정)'!T34</f>
        <v>808.33333333333337</v>
      </c>
      <c r="H18" s="122" t="s">
        <v>435</v>
      </c>
      <c r="I18" s="122" t="str">
        <f t="shared" ref="I18:I21" si="0">IF(G18&gt;1000,"부적합","적합")</f>
        <v>적합</v>
      </c>
      <c r="J18" s="801"/>
      <c r="K18" s="801"/>
      <c r="L18" s="801"/>
      <c r="M18" s="801"/>
      <c r="N18" s="801"/>
      <c r="O18" s="801"/>
      <c r="P18" s="801"/>
    </row>
    <row r="19" spans="1:16" s="46" customFormat="1" ht="46.5" customHeight="1">
      <c r="A19" s="801"/>
      <c r="B19" s="127" t="str">
        <f>'입력2(측정)'!B35</f>
        <v>1층 (도제)회계실무실습실</v>
      </c>
      <c r="C19" s="127" t="str">
        <f>'입력2(측정)'!C35</f>
        <v>15:00 ~ 15:10</v>
      </c>
      <c r="D19" s="327">
        <f>'입력2(측정)'!D35</f>
        <v>3</v>
      </c>
      <c r="E19" s="123">
        <f>'입력2(측정)'!R35</f>
        <v>712</v>
      </c>
      <c r="F19" s="123">
        <f>'입력2(측정)'!S35</f>
        <v>772</v>
      </c>
      <c r="G19" s="123">
        <f>'입력2(측정)'!T35</f>
        <v>740</v>
      </c>
      <c r="H19" s="122" t="s">
        <v>435</v>
      </c>
      <c r="I19" s="122" t="str">
        <f t="shared" si="0"/>
        <v>적합</v>
      </c>
      <c r="J19" s="801"/>
      <c r="K19" s="801"/>
      <c r="L19" s="801"/>
      <c r="M19" s="801"/>
      <c r="N19" s="801"/>
      <c r="O19" s="801"/>
      <c r="P19" s="801"/>
    </row>
    <row r="20" spans="1:16" s="46" customFormat="1" ht="46.5" customHeight="1">
      <c r="A20" s="801"/>
      <c r="B20" s="127" t="s">
        <v>187</v>
      </c>
      <c r="C20" s="127" t="s">
        <v>187</v>
      </c>
      <c r="D20" s="327" t="s">
        <v>187</v>
      </c>
      <c r="E20" s="123" t="s">
        <v>187</v>
      </c>
      <c r="F20" s="123" t="s">
        <v>187</v>
      </c>
      <c r="G20" s="123" t="s">
        <v>187</v>
      </c>
      <c r="H20" s="122" t="s">
        <v>187</v>
      </c>
      <c r="I20" s="122" t="s">
        <v>187</v>
      </c>
      <c r="J20" s="801"/>
      <c r="K20" s="801"/>
      <c r="L20" s="801"/>
      <c r="M20" s="801"/>
      <c r="N20" s="801"/>
      <c r="O20" s="801"/>
      <c r="P20" s="801"/>
    </row>
    <row r="21" spans="1:16" s="46" customFormat="1" ht="46.5" customHeight="1">
      <c r="A21" s="801"/>
      <c r="B21" s="127" t="str">
        <f>'입력2(측정)'!B37</f>
        <v>급식시설</v>
      </c>
      <c r="C21" s="127" t="str">
        <f>'입력2(측정)'!C37</f>
        <v>14:46 ~ 14:56</v>
      </c>
      <c r="D21" s="327">
        <f>'입력2(측정)'!D36</f>
        <v>3</v>
      </c>
      <c r="E21" s="123">
        <f>'입력2(측정)'!R37</f>
        <v>512</v>
      </c>
      <c r="F21" s="123">
        <f>'입력2(측정)'!S37</f>
        <v>603</v>
      </c>
      <c r="G21" s="123">
        <f>'입력2(측정)'!T37</f>
        <v>565.66666666666663</v>
      </c>
      <c r="H21" s="122" t="s">
        <v>435</v>
      </c>
      <c r="I21" s="122" t="str">
        <f t="shared" si="0"/>
        <v>적합</v>
      </c>
      <c r="J21" s="801"/>
      <c r="K21" s="801"/>
      <c r="L21" s="801"/>
      <c r="M21" s="801"/>
      <c r="N21" s="801"/>
      <c r="O21" s="801"/>
      <c r="P21" s="801"/>
    </row>
    <row r="22" spans="1:16" s="46" customFormat="1" ht="46.5" hidden="1" customHeight="1">
      <c r="A22" s="802"/>
      <c r="B22" s="127" t="str">
        <f>'입력2(측정)'!B38</f>
        <v>5층 2-11반</v>
      </c>
      <c r="C22" s="127">
        <f>'입력2(측정)'!C25</f>
        <v>0</v>
      </c>
      <c r="D22" s="327">
        <f>'입력2(측정)'!D37</f>
        <v>3</v>
      </c>
      <c r="E22" s="123">
        <f>'입력2(측정)'!R37</f>
        <v>512</v>
      </c>
      <c r="F22" s="123">
        <f>'입력2(측정)'!S37</f>
        <v>603</v>
      </c>
      <c r="G22" s="123">
        <f>'입력2(측정)'!T38</f>
        <v>1.9166666666666667</v>
      </c>
      <c r="H22" s="122" t="s">
        <v>435</v>
      </c>
      <c r="I22" s="122" t="str">
        <f>IF(G22&gt;1000,"부적합","적합")</f>
        <v>적합</v>
      </c>
      <c r="J22" s="802"/>
      <c r="K22" s="802"/>
      <c r="L22" s="802"/>
      <c r="M22" s="802"/>
      <c r="N22" s="802"/>
      <c r="O22" s="802"/>
      <c r="P22" s="802"/>
    </row>
    <row r="23" spans="1:16" s="46" customFormat="1" ht="46.5" customHeight="1">
      <c r="A23" s="800" t="s">
        <v>305</v>
      </c>
      <c r="B23" s="127" t="str">
        <f>'입력2(측정)'!B67</f>
        <v>5층 1-9반</v>
      </c>
      <c r="C23" s="127" t="str">
        <f>'입력2(측정)'!C67</f>
        <v>13:03 ~ 13:13</v>
      </c>
      <c r="D23" s="327">
        <f>'입력2(측정)'!D67</f>
        <v>3</v>
      </c>
      <c r="E23" s="503">
        <f>'입력2(측정)'!R67</f>
        <v>27</v>
      </c>
      <c r="F23" s="503">
        <f>'입력2(측정)'!S67</f>
        <v>33</v>
      </c>
      <c r="G23" s="503">
        <f>'입력2(측정)'!T67</f>
        <v>30.666666666666668</v>
      </c>
      <c r="H23" s="122" t="s">
        <v>475</v>
      </c>
      <c r="I23" s="122" t="str">
        <f t="shared" ref="I23:I30" si="1">IF(G23&gt;80,"부적합","적합")</f>
        <v>적합</v>
      </c>
      <c r="J23" s="800" t="s">
        <v>79</v>
      </c>
      <c r="K23" s="800" t="s">
        <v>86</v>
      </c>
      <c r="L23" s="800" t="s">
        <v>462</v>
      </c>
      <c r="M23" s="800" t="s">
        <v>332</v>
      </c>
      <c r="N23" s="800" t="s">
        <v>496</v>
      </c>
      <c r="O23" s="800" t="s">
        <v>110</v>
      </c>
      <c r="P23" s="800" t="s">
        <v>208</v>
      </c>
    </row>
    <row r="24" spans="1:16" s="46" customFormat="1" ht="46.5" customHeight="1">
      <c r="A24" s="801"/>
      <c r="B24" s="127" t="str">
        <f>'입력2(측정)'!B68</f>
        <v>4층 1-7반</v>
      </c>
      <c r="C24" s="127" t="str">
        <f>'입력2(측정)'!C68</f>
        <v>13:15 ~ 13:25</v>
      </c>
      <c r="D24" s="327">
        <f>'입력2(측정)'!D68</f>
        <v>3</v>
      </c>
      <c r="E24" s="503">
        <f>'입력2(측정)'!R68</f>
        <v>40</v>
      </c>
      <c r="F24" s="503">
        <f>'입력2(측정)'!S68</f>
        <v>45</v>
      </c>
      <c r="G24" s="503">
        <f>'입력2(측정)'!T68</f>
        <v>43</v>
      </c>
      <c r="H24" s="122" t="s">
        <v>475</v>
      </c>
      <c r="I24" s="122" t="str">
        <f t="shared" si="1"/>
        <v>적합</v>
      </c>
      <c r="J24" s="801"/>
      <c r="K24" s="801"/>
      <c r="L24" s="801"/>
      <c r="M24" s="801"/>
      <c r="N24" s="801"/>
      <c r="O24" s="801"/>
      <c r="P24" s="801"/>
    </row>
    <row r="25" spans="1:16" s="46" customFormat="1" ht="46.5" customHeight="1">
      <c r="A25" s="801"/>
      <c r="B25" s="127" t="str">
        <f>'입력2(측정)'!B69</f>
        <v>2층 (도제)세무실무실습실</v>
      </c>
      <c r="C25" s="127" t="str">
        <f>'입력2(측정)'!C69</f>
        <v>13:26 ~ 13:36</v>
      </c>
      <c r="D25" s="327">
        <f>'입력2(측정)'!D69</f>
        <v>3</v>
      </c>
      <c r="E25" s="503">
        <f>'입력2(측정)'!R69</f>
        <v>32</v>
      </c>
      <c r="F25" s="503">
        <f>'입력2(측정)'!S69</f>
        <v>36</v>
      </c>
      <c r="G25" s="503">
        <f>'입력2(측정)'!T69</f>
        <v>34</v>
      </c>
      <c r="H25" s="122" t="s">
        <v>475</v>
      </c>
      <c r="I25" s="122" t="str">
        <f t="shared" si="1"/>
        <v>적합</v>
      </c>
      <c r="J25" s="801"/>
      <c r="K25" s="801"/>
      <c r="L25" s="801"/>
      <c r="M25" s="801"/>
      <c r="N25" s="801"/>
      <c r="O25" s="801"/>
      <c r="P25" s="801"/>
    </row>
    <row r="26" spans="1:16" s="46" customFormat="1" ht="46.5" customHeight="1">
      <c r="A26" s="801"/>
      <c r="B26" s="127" t="s">
        <v>187</v>
      </c>
      <c r="C26" s="127" t="s">
        <v>187</v>
      </c>
      <c r="D26" s="327" t="s">
        <v>187</v>
      </c>
      <c r="E26" s="123" t="s">
        <v>187</v>
      </c>
      <c r="F26" s="123" t="s">
        <v>187</v>
      </c>
      <c r="G26" s="123" t="s">
        <v>187</v>
      </c>
      <c r="H26" s="122" t="s">
        <v>187</v>
      </c>
      <c r="I26" s="122" t="s">
        <v>187</v>
      </c>
      <c r="J26" s="801"/>
      <c r="K26" s="801"/>
      <c r="L26" s="801"/>
      <c r="M26" s="801"/>
      <c r="N26" s="801"/>
      <c r="O26" s="801"/>
      <c r="P26" s="801"/>
    </row>
    <row r="27" spans="1:16" s="46" customFormat="1" ht="46.5" customHeight="1">
      <c r="A27" s="802"/>
      <c r="B27" s="127" t="str">
        <f>'입력2(측정)'!B71</f>
        <v>급식시설</v>
      </c>
      <c r="C27" s="127" t="str">
        <f>'입력2(측정)'!C71</f>
        <v>14:46 ~ 14:56</v>
      </c>
      <c r="D27" s="327">
        <f>'입력2(측정)'!D71</f>
        <v>3</v>
      </c>
      <c r="E27" s="503">
        <f>'입력2(측정)'!R71</f>
        <v>59</v>
      </c>
      <c r="F27" s="503">
        <f>'입력2(측정)'!S71</f>
        <v>63</v>
      </c>
      <c r="G27" s="503">
        <f>'입력2(측정)'!T71</f>
        <v>60.666666666666664</v>
      </c>
      <c r="H27" s="122" t="s">
        <v>475</v>
      </c>
      <c r="I27" s="122" t="str">
        <f t="shared" si="1"/>
        <v>적합</v>
      </c>
      <c r="J27" s="802"/>
      <c r="K27" s="802"/>
      <c r="L27" s="802"/>
      <c r="M27" s="802"/>
      <c r="N27" s="802"/>
      <c r="O27" s="802"/>
      <c r="P27" s="802"/>
    </row>
    <row r="28" spans="1:16" s="46" customFormat="1" ht="46.5" customHeight="1">
      <c r="A28" s="800" t="s">
        <v>489</v>
      </c>
      <c r="B28" s="127" t="str">
        <f>'입력2(측정)'!B112</f>
        <v>1층 1-12반</v>
      </c>
      <c r="C28" s="127" t="str">
        <f>'입력2(측정)'!C112</f>
        <v>13:12 ~ 14:12</v>
      </c>
      <c r="D28" s="328">
        <v>2</v>
      </c>
      <c r="E28" s="504">
        <f>'입력2(측정)'!R112</f>
        <v>14.303684869726011</v>
      </c>
      <c r="F28" s="504">
        <f>'입력2(측정)'!S112</f>
        <v>16.788361941885899</v>
      </c>
      <c r="G28" s="504">
        <f>'입력2(측정)'!T112</f>
        <v>15.546023405805954</v>
      </c>
      <c r="H28" s="122" t="s">
        <v>475</v>
      </c>
      <c r="I28" s="122" t="str">
        <f t="shared" si="1"/>
        <v>적합</v>
      </c>
      <c r="J28" s="807" t="s">
        <v>187</v>
      </c>
      <c r="K28" s="807" t="s">
        <v>187</v>
      </c>
      <c r="L28" s="807" t="s">
        <v>187</v>
      </c>
      <c r="M28" s="805" t="s">
        <v>187</v>
      </c>
      <c r="N28" s="807" t="s">
        <v>187</v>
      </c>
      <c r="O28" s="808" t="s">
        <v>187</v>
      </c>
      <c r="P28" s="807"/>
    </row>
    <row r="29" spans="1:16" s="46" customFormat="1" ht="46.5" customHeight="1">
      <c r="A29" s="801"/>
      <c r="B29" s="127" t="str">
        <f>'입력2(측정)'!B113</f>
        <v>2층 2-12반</v>
      </c>
      <c r="C29" s="127" t="str">
        <f>'입력2(측정)'!C113</f>
        <v>14:05 ~ 15:05</v>
      </c>
      <c r="D29" s="328">
        <v>2</v>
      </c>
      <c r="E29" s="504">
        <f>'입력2(측정)'!R113</f>
        <v>7.7332291381190315</v>
      </c>
      <c r="F29" s="504">
        <f>'입력2(측정)'!S113</f>
        <v>9.5305230731706221</v>
      </c>
      <c r="G29" s="504">
        <f>'입력2(측정)'!T113</f>
        <v>8.6318761056448263</v>
      </c>
      <c r="H29" s="122" t="s">
        <v>475</v>
      </c>
      <c r="I29" s="122" t="str">
        <f t="shared" si="1"/>
        <v>적합</v>
      </c>
      <c r="J29" s="807"/>
      <c r="K29" s="807"/>
      <c r="L29" s="807"/>
      <c r="M29" s="805"/>
      <c r="N29" s="807"/>
      <c r="O29" s="809"/>
      <c r="P29" s="807"/>
    </row>
    <row r="30" spans="1:16" s="46" customFormat="1" ht="46.5" customHeight="1">
      <c r="A30" s="801"/>
      <c r="B30" s="127" t="str">
        <f>'입력2(측정)'!B114</f>
        <v>1층 스포티존</v>
      </c>
      <c r="C30" s="127" t="str">
        <f>'입력2(측정)'!C114</f>
        <v>13:00 ~ 14:00</v>
      </c>
      <c r="D30" s="328">
        <v>2</v>
      </c>
      <c r="E30" s="504">
        <f>'입력2(측정)'!R114</f>
        <v>26.227584291295798</v>
      </c>
      <c r="F30" s="504">
        <f>'입력2(측정)'!S114</f>
        <v>28.577047358936689</v>
      </c>
      <c r="G30" s="504">
        <f>'입력2(측정)'!T114</f>
        <v>27.402315825116244</v>
      </c>
      <c r="H30" s="122" t="s">
        <v>475</v>
      </c>
      <c r="I30" s="122" t="str">
        <f t="shared" si="1"/>
        <v>적합</v>
      </c>
      <c r="J30" s="807"/>
      <c r="K30" s="807"/>
      <c r="L30" s="807"/>
      <c r="M30" s="805"/>
      <c r="N30" s="807"/>
      <c r="O30" s="808"/>
      <c r="P30" s="807"/>
    </row>
    <row r="31" spans="1:16" s="46" customFormat="1" ht="46.5" customHeight="1">
      <c r="A31" s="805" t="s">
        <v>341</v>
      </c>
      <c r="B31" s="127" t="str">
        <f>'입력2(측정)'!B46</f>
        <v>5층 2-11반</v>
      </c>
      <c r="C31" s="127" t="str">
        <f>'입력2(측정)'!C46</f>
        <v>14:02 ~ 14:12</v>
      </c>
      <c r="D31" s="327">
        <v>1</v>
      </c>
      <c r="E31" s="327" t="s">
        <v>187</v>
      </c>
      <c r="F31" s="327" t="s">
        <v>187</v>
      </c>
      <c r="G31" s="327">
        <f>'입력2(측정)'!Z46</f>
        <v>80.852562902751416</v>
      </c>
      <c r="H31" s="122" t="s">
        <v>369</v>
      </c>
      <c r="I31" s="122" t="str">
        <f t="shared" ref="I31:I33" si="2">IF(G31&gt;800,"부적합","적합")</f>
        <v>적합</v>
      </c>
      <c r="J31" s="805" t="s">
        <v>428</v>
      </c>
      <c r="K31" s="805" t="s">
        <v>461</v>
      </c>
      <c r="L31" s="805" t="s">
        <v>393</v>
      </c>
      <c r="M31" s="805" t="s">
        <v>152</v>
      </c>
      <c r="N31" s="805" t="s">
        <v>433</v>
      </c>
      <c r="O31" s="805" t="s">
        <v>275</v>
      </c>
      <c r="P31" s="805"/>
    </row>
    <row r="32" spans="1:16" s="46" customFormat="1" ht="46.5" customHeight="1">
      <c r="A32" s="805"/>
      <c r="B32" s="127" t="str">
        <f>'입력2(측정)'!B47</f>
        <v>4층 2-4반</v>
      </c>
      <c r="C32" s="127" t="str">
        <f>'입력2(측정)'!C47</f>
        <v>14:13 ~ 14:23</v>
      </c>
      <c r="D32" s="327">
        <v>1</v>
      </c>
      <c r="E32" s="327" t="s">
        <v>187</v>
      </c>
      <c r="F32" s="327" t="s">
        <v>187</v>
      </c>
      <c r="G32" s="327">
        <f>'입력2(측정)'!Z47</f>
        <v>242.16029462572683</v>
      </c>
      <c r="H32" s="122" t="s">
        <v>369</v>
      </c>
      <c r="I32" s="122" t="str">
        <f t="shared" si="2"/>
        <v>적합</v>
      </c>
      <c r="J32" s="805"/>
      <c r="K32" s="805"/>
      <c r="L32" s="805"/>
      <c r="M32" s="805"/>
      <c r="N32" s="805"/>
      <c r="O32" s="805"/>
      <c r="P32" s="805"/>
    </row>
    <row r="33" spans="1:16" s="46" customFormat="1" ht="46.5" customHeight="1">
      <c r="A33" s="805"/>
      <c r="B33" s="127" t="str">
        <f>'입력2(측정)'!B48</f>
        <v>1층 (도제)회계실무실습실</v>
      </c>
      <c r="C33" s="127" t="str">
        <f>'입력2(측정)'!C48</f>
        <v>15:00 ~ 15:10</v>
      </c>
      <c r="D33" s="327">
        <v>1</v>
      </c>
      <c r="E33" s="327" t="s">
        <v>187</v>
      </c>
      <c r="F33" s="327" t="s">
        <v>187</v>
      </c>
      <c r="G33" s="327">
        <f>'입력2(측정)'!Z48</f>
        <v>30.304173117377232</v>
      </c>
      <c r="H33" s="122" t="s">
        <v>369</v>
      </c>
      <c r="I33" s="122" t="str">
        <f t="shared" si="2"/>
        <v>적합</v>
      </c>
      <c r="J33" s="805"/>
      <c r="K33" s="805"/>
      <c r="L33" s="805"/>
      <c r="M33" s="805"/>
      <c r="N33" s="805"/>
      <c r="O33" s="805"/>
      <c r="P33" s="805"/>
    </row>
    <row r="34" spans="1:16" s="46" customFormat="1" ht="46.5" customHeight="1">
      <c r="A34" s="805"/>
      <c r="B34" s="127" t="s">
        <v>187</v>
      </c>
      <c r="C34" s="127" t="s">
        <v>187</v>
      </c>
      <c r="D34" s="327" t="s">
        <v>187</v>
      </c>
      <c r="E34" s="123" t="s">
        <v>187</v>
      </c>
      <c r="F34" s="123" t="s">
        <v>187</v>
      </c>
      <c r="G34" s="123" t="s">
        <v>187</v>
      </c>
      <c r="H34" s="122" t="s">
        <v>187</v>
      </c>
      <c r="I34" s="122" t="s">
        <v>187</v>
      </c>
      <c r="J34" s="805"/>
      <c r="K34" s="805"/>
      <c r="L34" s="805"/>
      <c r="M34" s="805"/>
      <c r="N34" s="805"/>
      <c r="O34" s="805"/>
      <c r="P34" s="805"/>
    </row>
    <row r="35" spans="1:16" s="46" customFormat="1" ht="46.5" customHeight="1">
      <c r="A35" s="800" t="s">
        <v>342</v>
      </c>
      <c r="B35" s="127" t="str">
        <f>'입력2(측정)'!B52</f>
        <v>급식시설</v>
      </c>
      <c r="C35" s="127" t="str">
        <f>'입력2(측정)'!C52</f>
        <v>14:46 ~ 14:56</v>
      </c>
      <c r="D35" s="328">
        <f>'입력2(측정)'!D52</f>
        <v>3</v>
      </c>
      <c r="E35" s="328">
        <f>'입력2(측정)'!R52</f>
        <v>0</v>
      </c>
      <c r="F35" s="328">
        <f>'입력2(측정)'!S52</f>
        <v>0</v>
      </c>
      <c r="G35" s="328">
        <f>'입력2(측정)'!T52</f>
        <v>0</v>
      </c>
      <c r="H35" s="122" t="s">
        <v>338</v>
      </c>
      <c r="I35" s="122" t="str">
        <f t="shared" ref="I35:I39" si="3">IF(G35&gt;10,"부적합","적합")</f>
        <v>적합</v>
      </c>
      <c r="J35" s="800" t="s">
        <v>486</v>
      </c>
      <c r="K35" s="800" t="s">
        <v>121</v>
      </c>
      <c r="L35" s="800" t="s">
        <v>433</v>
      </c>
      <c r="M35" s="800" t="s">
        <v>187</v>
      </c>
      <c r="N35" s="800" t="s">
        <v>187</v>
      </c>
      <c r="O35" s="800" t="s">
        <v>134</v>
      </c>
      <c r="P35" s="800"/>
    </row>
    <row r="36" spans="1:16" s="46" customFormat="1" ht="46.5" customHeight="1">
      <c r="A36" s="801"/>
      <c r="B36" s="127" t="str">
        <f>'입력2(측정)'!B53</f>
        <v>보건실</v>
      </c>
      <c r="C36" s="127" t="str">
        <f>'입력2(측정)'!C53</f>
        <v>13:49 ~ 13:59</v>
      </c>
      <c r="D36" s="328">
        <f>'입력2(측정)'!D53</f>
        <v>3</v>
      </c>
      <c r="E36" s="328">
        <f>'입력2(측정)'!R53</f>
        <v>0</v>
      </c>
      <c r="F36" s="328">
        <f>'입력2(측정)'!S53</f>
        <v>1</v>
      </c>
      <c r="G36" s="328">
        <f>'입력2(측정)'!T53</f>
        <v>0.66666666666666663</v>
      </c>
      <c r="H36" s="122" t="s">
        <v>338</v>
      </c>
      <c r="I36" s="122" t="str">
        <f t="shared" si="3"/>
        <v>적합</v>
      </c>
      <c r="J36" s="801"/>
      <c r="K36" s="801"/>
      <c r="L36" s="801"/>
      <c r="M36" s="801"/>
      <c r="N36" s="801"/>
      <c r="O36" s="801"/>
      <c r="P36" s="801"/>
    </row>
    <row r="37" spans="1:16" s="46" customFormat="1" ht="46.5" customHeight="1">
      <c r="A37" s="801"/>
      <c r="B37" s="127" t="s">
        <v>187</v>
      </c>
      <c r="C37" s="127" t="s">
        <v>187</v>
      </c>
      <c r="D37" s="327" t="s">
        <v>187</v>
      </c>
      <c r="E37" s="123" t="s">
        <v>187</v>
      </c>
      <c r="F37" s="123" t="s">
        <v>187</v>
      </c>
      <c r="G37" s="123" t="s">
        <v>187</v>
      </c>
      <c r="H37" s="122" t="s">
        <v>187</v>
      </c>
      <c r="I37" s="122" t="s">
        <v>187</v>
      </c>
      <c r="J37" s="801"/>
      <c r="K37" s="801"/>
      <c r="L37" s="801"/>
      <c r="M37" s="801"/>
      <c r="N37" s="801"/>
      <c r="O37" s="801"/>
      <c r="P37" s="801"/>
    </row>
    <row r="38" spans="1:16" s="46" customFormat="1" ht="46.5" customHeight="1">
      <c r="A38" s="802"/>
      <c r="B38" s="127" t="s">
        <v>187</v>
      </c>
      <c r="C38" s="127" t="s">
        <v>187</v>
      </c>
      <c r="D38" s="327" t="s">
        <v>187</v>
      </c>
      <c r="E38" s="123" t="s">
        <v>187</v>
      </c>
      <c r="F38" s="123" t="s">
        <v>187</v>
      </c>
      <c r="G38" s="123" t="s">
        <v>187</v>
      </c>
      <c r="H38" s="122" t="s">
        <v>187</v>
      </c>
      <c r="I38" s="122" t="s">
        <v>187</v>
      </c>
      <c r="J38" s="802"/>
      <c r="K38" s="802"/>
      <c r="L38" s="802"/>
      <c r="M38" s="802"/>
      <c r="N38" s="802"/>
      <c r="O38" s="802"/>
      <c r="P38" s="802"/>
    </row>
    <row r="39" spans="1:16" s="46" customFormat="1" ht="46.5" customHeight="1">
      <c r="A39" s="805" t="s">
        <v>445</v>
      </c>
      <c r="B39" s="127" t="str">
        <f>'입력2(측정)'!B38</f>
        <v>5층 2-11반</v>
      </c>
      <c r="C39" s="127" t="str">
        <f>'입력2(측정)'!C38</f>
        <v>14:02 ~ 14:12</v>
      </c>
      <c r="D39" s="327">
        <v>3</v>
      </c>
      <c r="E39" s="123">
        <f>'입력2(측정)'!R38</f>
        <v>1.9</v>
      </c>
      <c r="F39" s="123">
        <f>'입력2(측정)'!S38</f>
        <v>1.93</v>
      </c>
      <c r="G39" s="123">
        <f>'입력2(측정)'!T38</f>
        <v>1.9166666666666667</v>
      </c>
      <c r="H39" s="122" t="s">
        <v>407</v>
      </c>
      <c r="I39" s="122" t="str">
        <f t="shared" si="3"/>
        <v>적합</v>
      </c>
      <c r="J39" s="805" t="s">
        <v>79</v>
      </c>
      <c r="K39" s="805" t="s">
        <v>86</v>
      </c>
      <c r="L39" s="805" t="s">
        <v>462</v>
      </c>
      <c r="M39" s="805" t="s">
        <v>332</v>
      </c>
      <c r="N39" s="800" t="s">
        <v>496</v>
      </c>
      <c r="O39" s="805" t="s">
        <v>110</v>
      </c>
      <c r="P39" s="810" t="s">
        <v>208</v>
      </c>
    </row>
    <row r="40" spans="1:16" s="46" customFormat="1" ht="46.5" customHeight="1">
      <c r="A40" s="805"/>
      <c r="B40" s="127" t="s">
        <v>187</v>
      </c>
      <c r="C40" s="127" t="s">
        <v>187</v>
      </c>
      <c r="D40" s="327" t="s">
        <v>187</v>
      </c>
      <c r="E40" s="123" t="s">
        <v>187</v>
      </c>
      <c r="F40" s="123" t="s">
        <v>187</v>
      </c>
      <c r="G40" s="123" t="s">
        <v>187</v>
      </c>
      <c r="H40" s="122" t="s">
        <v>187</v>
      </c>
      <c r="I40" s="122" t="s">
        <v>187</v>
      </c>
      <c r="J40" s="805"/>
      <c r="K40" s="805"/>
      <c r="L40" s="805"/>
      <c r="M40" s="805"/>
      <c r="N40" s="801"/>
      <c r="O40" s="805"/>
      <c r="P40" s="810"/>
    </row>
    <row r="41" spans="1:16" s="46" customFormat="1" ht="46.5" customHeight="1">
      <c r="A41" s="805"/>
      <c r="B41" s="127" t="s">
        <v>187</v>
      </c>
      <c r="C41" s="127" t="s">
        <v>187</v>
      </c>
      <c r="D41" s="327" t="s">
        <v>187</v>
      </c>
      <c r="E41" s="123" t="s">
        <v>187</v>
      </c>
      <c r="F41" s="123" t="s">
        <v>187</v>
      </c>
      <c r="G41" s="123" t="s">
        <v>187</v>
      </c>
      <c r="H41" s="122" t="s">
        <v>187</v>
      </c>
      <c r="I41" s="122" t="s">
        <v>187</v>
      </c>
      <c r="J41" s="805"/>
      <c r="K41" s="805"/>
      <c r="L41" s="805"/>
      <c r="M41" s="805"/>
      <c r="N41" s="802"/>
      <c r="O41" s="805"/>
      <c r="P41" s="810"/>
    </row>
    <row r="42" spans="1:16" s="46" customFormat="1" ht="46.5" customHeight="1">
      <c r="A42" s="805" t="s">
        <v>310</v>
      </c>
      <c r="B42" s="127" t="str">
        <f>'입력2(측정)'!B41</f>
        <v>5층 2-11반</v>
      </c>
      <c r="C42" s="127" t="str">
        <f>'입력2(측정)'!C41</f>
        <v>14:02 ~ 14:12</v>
      </c>
      <c r="D42" s="127">
        <f>'입력2(측정)'!D41</f>
        <v>3</v>
      </c>
      <c r="E42" s="124">
        <f>'입력2(측정)'!R41</f>
        <v>1.9E-2</v>
      </c>
      <c r="F42" s="124">
        <f>'입력2(측정)'!S41</f>
        <v>2.1000000000000001E-2</v>
      </c>
      <c r="G42" s="124">
        <f>'입력2(측정)'!T41</f>
        <v>0.02</v>
      </c>
      <c r="H42" s="122" t="s">
        <v>465</v>
      </c>
      <c r="I42" s="122" t="str">
        <f>IF(G42&gt;0.05,"부적합","적합")</f>
        <v>적합</v>
      </c>
      <c r="J42" s="805" t="s">
        <v>79</v>
      </c>
      <c r="K42" s="805" t="s">
        <v>86</v>
      </c>
      <c r="L42" s="805" t="s">
        <v>462</v>
      </c>
      <c r="M42" s="805" t="s">
        <v>332</v>
      </c>
      <c r="N42" s="800" t="s">
        <v>496</v>
      </c>
      <c r="O42" s="805" t="s">
        <v>110</v>
      </c>
      <c r="P42" s="810" t="s">
        <v>208</v>
      </c>
    </row>
    <row r="43" spans="1:16" s="46" customFormat="1" ht="46.5" customHeight="1">
      <c r="A43" s="805"/>
      <c r="B43" s="127" t="s">
        <v>187</v>
      </c>
      <c r="C43" s="127" t="s">
        <v>187</v>
      </c>
      <c r="D43" s="327" t="s">
        <v>187</v>
      </c>
      <c r="E43" s="123" t="s">
        <v>187</v>
      </c>
      <c r="F43" s="123" t="s">
        <v>187</v>
      </c>
      <c r="G43" s="123" t="s">
        <v>187</v>
      </c>
      <c r="H43" s="122" t="s">
        <v>187</v>
      </c>
      <c r="I43" s="122" t="s">
        <v>187</v>
      </c>
      <c r="J43" s="805"/>
      <c r="K43" s="805"/>
      <c r="L43" s="805"/>
      <c r="M43" s="805"/>
      <c r="N43" s="801"/>
      <c r="O43" s="805"/>
      <c r="P43" s="810"/>
    </row>
    <row r="44" spans="1:16" s="46" customFormat="1" ht="46.5" customHeight="1">
      <c r="A44" s="805"/>
      <c r="B44" s="127" t="s">
        <v>187</v>
      </c>
      <c r="C44" s="127" t="s">
        <v>187</v>
      </c>
      <c r="D44" s="327" t="s">
        <v>187</v>
      </c>
      <c r="E44" s="123" t="s">
        <v>187</v>
      </c>
      <c r="F44" s="123" t="s">
        <v>187</v>
      </c>
      <c r="G44" s="123" t="s">
        <v>187</v>
      </c>
      <c r="H44" s="122" t="s">
        <v>187</v>
      </c>
      <c r="I44" s="122" t="s">
        <v>187</v>
      </c>
      <c r="J44" s="805"/>
      <c r="K44" s="805"/>
      <c r="L44" s="805"/>
      <c r="M44" s="805"/>
      <c r="N44" s="802"/>
      <c r="O44" s="805"/>
      <c r="P44" s="810"/>
    </row>
    <row r="45" spans="1:16" s="46" customFormat="1" ht="46.5" customHeight="1">
      <c r="A45" s="805" t="s">
        <v>156</v>
      </c>
      <c r="B45" s="37" t="s">
        <v>10</v>
      </c>
      <c r="C45" s="531" t="s">
        <v>491</v>
      </c>
      <c r="D45" s="37">
        <v>1</v>
      </c>
      <c r="E45" s="123" t="s">
        <v>187</v>
      </c>
      <c r="F45" s="123" t="s">
        <v>187</v>
      </c>
      <c r="G45" s="123" t="s">
        <v>187</v>
      </c>
      <c r="H45" s="125" t="s">
        <v>434</v>
      </c>
      <c r="I45" s="125" t="s">
        <v>235</v>
      </c>
      <c r="J45" s="811" t="s">
        <v>84</v>
      </c>
      <c r="K45" s="813" t="s">
        <v>93</v>
      </c>
      <c r="L45" s="813" t="s">
        <v>468</v>
      </c>
      <c r="M45" s="813" t="s">
        <v>187</v>
      </c>
      <c r="N45" s="813" t="s">
        <v>187</v>
      </c>
      <c r="O45" s="813" t="s">
        <v>96</v>
      </c>
      <c r="P45" s="813"/>
    </row>
    <row r="46" spans="1:16" s="46" customFormat="1" ht="46.5" customHeight="1">
      <c r="A46" s="805"/>
      <c r="B46" s="127">
        <f>'입력2(측정)'!B61</f>
        <v>0</v>
      </c>
      <c r="C46" s="125" t="s">
        <v>187</v>
      </c>
      <c r="D46" s="329" t="s">
        <v>187</v>
      </c>
      <c r="E46" s="505" t="s">
        <v>187</v>
      </c>
      <c r="F46" s="505" t="s">
        <v>187</v>
      </c>
      <c r="G46" s="505" t="s">
        <v>187</v>
      </c>
      <c r="H46" s="125" t="s">
        <v>187</v>
      </c>
      <c r="I46" s="125" t="s">
        <v>187</v>
      </c>
      <c r="J46" s="812"/>
      <c r="K46" s="813"/>
      <c r="L46" s="813"/>
      <c r="M46" s="813"/>
      <c r="N46" s="813"/>
      <c r="O46" s="813"/>
      <c r="P46" s="813"/>
    </row>
    <row r="47" spans="1:16" s="46" customFormat="1" ht="46.5" customHeight="1">
      <c r="A47" s="805" t="s">
        <v>402</v>
      </c>
      <c r="B47" s="127" t="s">
        <v>187</v>
      </c>
      <c r="C47" s="127" t="s">
        <v>187</v>
      </c>
      <c r="D47" s="327" t="s">
        <v>187</v>
      </c>
      <c r="E47" s="123" t="s">
        <v>187</v>
      </c>
      <c r="F47" s="123" t="s">
        <v>187</v>
      </c>
      <c r="G47" s="123" t="s">
        <v>187</v>
      </c>
      <c r="H47" s="122" t="s">
        <v>187</v>
      </c>
      <c r="I47" s="122" t="s">
        <v>187</v>
      </c>
      <c r="J47" s="807" t="s">
        <v>419</v>
      </c>
      <c r="K47" s="808" t="s">
        <v>397</v>
      </c>
      <c r="L47" s="807" t="s">
        <v>403</v>
      </c>
      <c r="M47" s="807" t="s">
        <v>187</v>
      </c>
      <c r="N47" s="807" t="s">
        <v>442</v>
      </c>
      <c r="O47" s="808" t="s">
        <v>425</v>
      </c>
      <c r="P47" s="814" t="s">
        <v>208</v>
      </c>
    </row>
    <row r="48" spans="1:16" s="46" customFormat="1" ht="46.5" customHeight="1">
      <c r="A48" s="805"/>
      <c r="B48" s="127" t="s">
        <v>187</v>
      </c>
      <c r="C48" s="127" t="s">
        <v>187</v>
      </c>
      <c r="D48" s="327" t="s">
        <v>187</v>
      </c>
      <c r="E48" s="123" t="s">
        <v>187</v>
      </c>
      <c r="F48" s="123" t="s">
        <v>187</v>
      </c>
      <c r="G48" s="123" t="s">
        <v>187</v>
      </c>
      <c r="H48" s="122" t="s">
        <v>187</v>
      </c>
      <c r="I48" s="122" t="s">
        <v>187</v>
      </c>
      <c r="J48" s="807"/>
      <c r="K48" s="809"/>
      <c r="L48" s="807"/>
      <c r="M48" s="807"/>
      <c r="N48" s="807"/>
      <c r="O48" s="809"/>
      <c r="P48" s="814"/>
    </row>
    <row r="49" spans="1:16" s="46" customFormat="1" ht="46.5" customHeight="1">
      <c r="A49" s="805"/>
      <c r="B49" s="127" t="s">
        <v>187</v>
      </c>
      <c r="C49" s="127" t="s">
        <v>187</v>
      </c>
      <c r="D49" s="327" t="s">
        <v>187</v>
      </c>
      <c r="E49" s="123" t="s">
        <v>187</v>
      </c>
      <c r="F49" s="123" t="s">
        <v>187</v>
      </c>
      <c r="G49" s="123" t="s">
        <v>187</v>
      </c>
      <c r="H49" s="122" t="s">
        <v>187</v>
      </c>
      <c r="I49" s="122" t="s">
        <v>187</v>
      </c>
      <c r="J49" s="807"/>
      <c r="K49" s="809"/>
      <c r="L49" s="807"/>
      <c r="M49" s="807"/>
      <c r="N49" s="807"/>
      <c r="O49" s="809"/>
      <c r="P49" s="814"/>
    </row>
    <row r="50" spans="1:16" s="46" customFormat="1" ht="46.5" customHeight="1">
      <c r="A50" s="805"/>
      <c r="B50" s="127" t="s">
        <v>187</v>
      </c>
      <c r="C50" s="127" t="s">
        <v>187</v>
      </c>
      <c r="D50" s="327" t="s">
        <v>187</v>
      </c>
      <c r="E50" s="123" t="s">
        <v>187</v>
      </c>
      <c r="F50" s="123" t="s">
        <v>187</v>
      </c>
      <c r="G50" s="123" t="s">
        <v>187</v>
      </c>
      <c r="H50" s="122" t="s">
        <v>187</v>
      </c>
      <c r="I50" s="122" t="s">
        <v>187</v>
      </c>
      <c r="J50" s="807"/>
      <c r="K50" s="808"/>
      <c r="L50" s="807"/>
      <c r="M50" s="807"/>
      <c r="N50" s="807"/>
      <c r="O50" s="808"/>
      <c r="P50" s="814"/>
    </row>
    <row r="51" spans="1:16" s="46" customFormat="1" ht="46.5" customHeight="1">
      <c r="A51" s="805"/>
      <c r="B51" s="127" t="s">
        <v>187</v>
      </c>
      <c r="C51" s="127" t="s">
        <v>187</v>
      </c>
      <c r="D51" s="327" t="s">
        <v>187</v>
      </c>
      <c r="E51" s="123" t="s">
        <v>187</v>
      </c>
      <c r="F51" s="123" t="s">
        <v>187</v>
      </c>
      <c r="G51" s="123" t="s">
        <v>187</v>
      </c>
      <c r="H51" s="122" t="s">
        <v>187</v>
      </c>
      <c r="I51" s="122" t="s">
        <v>187</v>
      </c>
      <c r="J51" s="807"/>
      <c r="K51" s="809"/>
      <c r="L51" s="807"/>
      <c r="M51" s="807"/>
      <c r="N51" s="807"/>
      <c r="O51" s="809"/>
      <c r="P51" s="814"/>
    </row>
    <row r="52" spans="1:16" s="46" customFormat="1" ht="46.5" customHeight="1">
      <c r="A52" s="805"/>
      <c r="B52" s="127" t="s">
        <v>187</v>
      </c>
      <c r="C52" s="127" t="s">
        <v>187</v>
      </c>
      <c r="D52" s="327" t="s">
        <v>187</v>
      </c>
      <c r="E52" s="123" t="s">
        <v>187</v>
      </c>
      <c r="F52" s="123" t="s">
        <v>187</v>
      </c>
      <c r="G52" s="123" t="s">
        <v>187</v>
      </c>
      <c r="H52" s="122" t="s">
        <v>187</v>
      </c>
      <c r="I52" s="122" t="s">
        <v>187</v>
      </c>
      <c r="J52" s="807"/>
      <c r="K52" s="808"/>
      <c r="L52" s="807"/>
      <c r="M52" s="807"/>
      <c r="N52" s="807"/>
      <c r="O52" s="808"/>
      <c r="P52" s="814"/>
    </row>
    <row r="53" spans="1:16" s="46" customFormat="1" ht="42.75" customHeight="1">
      <c r="A53" s="805" t="s">
        <v>339</v>
      </c>
      <c r="B53" s="127" t="str">
        <f>'입력2(측정)'!B63</f>
        <v>교무실</v>
      </c>
      <c r="C53" s="127" t="str">
        <f>'입력2(측정)'!C63</f>
        <v>14:25 ~ 14:35</v>
      </c>
      <c r="D53" s="127">
        <f>'입력2(측정)'!D63</f>
        <v>3</v>
      </c>
      <c r="E53" s="124">
        <f>'입력2(측정)'!R63</f>
        <v>0.01</v>
      </c>
      <c r="F53" s="124">
        <f>'입력2(측정)'!S63</f>
        <v>1.2999999999999999E-2</v>
      </c>
      <c r="G53" s="124">
        <f>'입력2(측정)'!T63</f>
        <v>1.1666666666666667E-2</v>
      </c>
      <c r="H53" s="122" t="s">
        <v>427</v>
      </c>
      <c r="I53" s="122" t="str">
        <f>IF(G53&gt;0.06,"부적합","적합")</f>
        <v>적합</v>
      </c>
      <c r="J53" s="805" t="s">
        <v>79</v>
      </c>
      <c r="K53" s="805" t="s">
        <v>86</v>
      </c>
      <c r="L53" s="805" t="s">
        <v>462</v>
      </c>
      <c r="M53" s="805" t="s">
        <v>332</v>
      </c>
      <c r="N53" s="800" t="s">
        <v>496</v>
      </c>
      <c r="O53" s="805" t="s">
        <v>110</v>
      </c>
      <c r="P53" s="810" t="s">
        <v>208</v>
      </c>
    </row>
    <row r="54" spans="1:16" s="46" customFormat="1" ht="42.75" customHeight="1">
      <c r="A54" s="805"/>
      <c r="B54" s="127" t="s">
        <v>187</v>
      </c>
      <c r="C54" s="127" t="s">
        <v>187</v>
      </c>
      <c r="D54" s="327" t="s">
        <v>187</v>
      </c>
      <c r="E54" s="123" t="s">
        <v>187</v>
      </c>
      <c r="F54" s="123" t="s">
        <v>187</v>
      </c>
      <c r="G54" s="123" t="s">
        <v>187</v>
      </c>
      <c r="H54" s="122" t="s">
        <v>187</v>
      </c>
      <c r="I54" s="122" t="s">
        <v>187</v>
      </c>
      <c r="J54" s="805"/>
      <c r="K54" s="805"/>
      <c r="L54" s="805"/>
      <c r="M54" s="805"/>
      <c r="N54" s="801"/>
      <c r="O54" s="805"/>
      <c r="P54" s="810"/>
    </row>
    <row r="55" spans="1:16" s="46" customFormat="1" ht="42.75" customHeight="1">
      <c r="A55" s="805"/>
      <c r="B55" s="127" t="s">
        <v>187</v>
      </c>
      <c r="C55" s="127" t="s">
        <v>187</v>
      </c>
      <c r="D55" s="327" t="s">
        <v>187</v>
      </c>
      <c r="E55" s="123" t="s">
        <v>187</v>
      </c>
      <c r="F55" s="123" t="s">
        <v>187</v>
      </c>
      <c r="G55" s="123" t="s">
        <v>187</v>
      </c>
      <c r="H55" s="122" t="s">
        <v>187</v>
      </c>
      <c r="I55" s="122" t="s">
        <v>187</v>
      </c>
      <c r="J55" s="805"/>
      <c r="K55" s="805"/>
      <c r="L55" s="805"/>
      <c r="M55" s="805"/>
      <c r="N55" s="802"/>
      <c r="O55" s="805"/>
      <c r="P55" s="810"/>
    </row>
    <row r="56" spans="1:16" s="46" customFormat="1" ht="42.75" customHeight="1">
      <c r="A56" s="122" t="s">
        <v>47</v>
      </c>
      <c r="B56" s="127" t="str">
        <f>'입력2(측정)'!B66</f>
        <v>보건실</v>
      </c>
      <c r="C56" s="127" t="str">
        <f>'입력2(측정)'!C66</f>
        <v>13:49 ~ 13:59</v>
      </c>
      <c r="D56" s="127">
        <f>'입력2(측정)'!D66</f>
        <v>1</v>
      </c>
      <c r="E56" s="127"/>
      <c r="F56" s="127">
        <f>'입력2(측정)'!F66</f>
        <v>0</v>
      </c>
      <c r="G56" s="127" t="s">
        <v>178</v>
      </c>
      <c r="H56" s="127" t="s">
        <v>42</v>
      </c>
      <c r="I56" s="127" t="s">
        <v>293</v>
      </c>
      <c r="J56" s="122" t="s">
        <v>44</v>
      </c>
      <c r="K56" s="122" t="s">
        <v>187</v>
      </c>
      <c r="L56" s="122" t="s">
        <v>187</v>
      </c>
      <c r="M56" s="122" t="s">
        <v>187</v>
      </c>
      <c r="N56" s="122" t="s">
        <v>187</v>
      </c>
      <c r="O56" s="122" t="s">
        <v>101</v>
      </c>
      <c r="P56" s="126" t="s">
        <v>208</v>
      </c>
    </row>
    <row r="57" spans="1:16" s="46" customFormat="1" ht="42.75" customHeight="1">
      <c r="A57" s="805" t="s">
        <v>400</v>
      </c>
      <c r="B57" s="127" t="str">
        <f>'입력2(측정)'!B115</f>
        <v>1층 1-12반</v>
      </c>
      <c r="C57" s="127" t="str">
        <f>'입력2(측정)'!C115</f>
        <v>13:12 ~ 14:12</v>
      </c>
      <c r="D57" s="127">
        <f>'입력2(측정)'!D115</f>
        <v>2</v>
      </c>
      <c r="E57" s="504">
        <f>'입력2(측정)'!R115</f>
        <v>116.77156937706951</v>
      </c>
      <c r="F57" s="504">
        <f>'입력2(측정)'!S115</f>
        <v>141.58957404341547</v>
      </c>
      <c r="G57" s="504">
        <f>'입력2(측정)'!T115</f>
        <v>129.18057171024248</v>
      </c>
      <c r="H57" s="122" t="s">
        <v>456</v>
      </c>
      <c r="I57" s="122" t="str">
        <f>IF(G57&gt;400,"부적합","적합")</f>
        <v>적합</v>
      </c>
      <c r="J57" s="805" t="s">
        <v>187</v>
      </c>
      <c r="K57" s="805" t="s">
        <v>187</v>
      </c>
      <c r="L57" s="805" t="s">
        <v>187</v>
      </c>
      <c r="M57" s="805" t="s">
        <v>187</v>
      </c>
      <c r="N57" s="805" t="s">
        <v>187</v>
      </c>
      <c r="O57" s="805" t="s">
        <v>187</v>
      </c>
      <c r="P57" s="810"/>
    </row>
    <row r="58" spans="1:16" s="46" customFormat="1" ht="42.75" customHeight="1">
      <c r="A58" s="805"/>
      <c r="B58" s="127" t="str">
        <f>'입력2(측정)'!B116</f>
        <v>2층 2-12반</v>
      </c>
      <c r="C58" s="127" t="str">
        <f>'입력2(측정)'!C116</f>
        <v>14:05 ~ 15:05</v>
      </c>
      <c r="D58" s="127">
        <f>'입력2(측정)'!D116</f>
        <v>2</v>
      </c>
      <c r="E58" s="504">
        <f>'입력2(측정)'!R116</f>
        <v>114.63926240710406</v>
      </c>
      <c r="F58" s="504">
        <f>'입력2(측정)'!S116</f>
        <v>126.04542176616226</v>
      </c>
      <c r="G58" s="504">
        <f>'입력2(측정)'!T116</f>
        <v>120.34234208663315</v>
      </c>
      <c r="H58" s="122" t="s">
        <v>456</v>
      </c>
      <c r="I58" s="122" t="str">
        <f>IF(G58&gt;400,"부적합","적합")</f>
        <v>적합</v>
      </c>
      <c r="J58" s="805"/>
      <c r="K58" s="805"/>
      <c r="L58" s="805"/>
      <c r="M58" s="805"/>
      <c r="N58" s="805"/>
      <c r="O58" s="805"/>
      <c r="P58" s="810"/>
    </row>
    <row r="59" spans="1:16" s="46" customFormat="1" ht="42.75" customHeight="1">
      <c r="A59" s="805"/>
      <c r="B59" s="127" t="str">
        <f>'입력2(측정)'!B117</f>
        <v>1층 스포티존</v>
      </c>
      <c r="C59" s="127" t="str">
        <f>'입력2(측정)'!C117</f>
        <v>13:00 ~ 14:00</v>
      </c>
      <c r="D59" s="127">
        <f>'입력2(측정)'!D117</f>
        <v>2</v>
      </c>
      <c r="E59" s="504">
        <f>'입력2(측정)'!R117</f>
        <v>150.27510466198262</v>
      </c>
      <c r="F59" s="504">
        <f>'입력2(측정)'!S117</f>
        <v>155.85074710853817</v>
      </c>
      <c r="G59" s="504">
        <f>'입력2(측정)'!T117</f>
        <v>153.0629258852604</v>
      </c>
      <c r="H59" s="122" t="s">
        <v>456</v>
      </c>
      <c r="I59" s="122" t="str">
        <f>IF(G59&gt;400,"부적합","적합")</f>
        <v>적합</v>
      </c>
      <c r="J59" s="805"/>
      <c r="K59" s="805"/>
      <c r="L59" s="805"/>
      <c r="M59" s="805"/>
      <c r="N59" s="805"/>
      <c r="O59" s="805"/>
      <c r="P59" s="810"/>
    </row>
    <row r="60" spans="1:16" s="46" customFormat="1" ht="42.75" customHeight="1">
      <c r="A60" s="805" t="s">
        <v>446</v>
      </c>
      <c r="B60" s="127" t="str">
        <f>'입력2(측정)'!B118</f>
        <v>1층 1-12반</v>
      </c>
      <c r="C60" s="127" t="str">
        <f>'입력2(측정)'!C118</f>
        <v>13:12 ~ 14:12</v>
      </c>
      <c r="D60" s="127">
        <f>'입력2(측정)'!D118</f>
        <v>2</v>
      </c>
      <c r="E60" s="503">
        <f>'입력2(측정)'!R118</f>
        <v>23.019175332709118</v>
      </c>
      <c r="F60" s="503">
        <f>'입력2(측정)'!S118</f>
        <v>25.933928230297024</v>
      </c>
      <c r="G60" s="503">
        <f>'입력2(측정)'!T118</f>
        <v>24.476551781503069</v>
      </c>
      <c r="H60" s="122" t="s">
        <v>426</v>
      </c>
      <c r="I60" s="122" t="str">
        <f>IF(G60&gt;30,"부적합","적합")</f>
        <v>적합</v>
      </c>
      <c r="J60" s="805" t="s">
        <v>187</v>
      </c>
      <c r="K60" s="805" t="s">
        <v>187</v>
      </c>
      <c r="L60" s="805" t="s">
        <v>187</v>
      </c>
      <c r="M60" s="805" t="s">
        <v>187</v>
      </c>
      <c r="N60" s="805" t="s">
        <v>187</v>
      </c>
      <c r="O60" s="805" t="s">
        <v>187</v>
      </c>
      <c r="P60" s="810" t="s">
        <v>208</v>
      </c>
    </row>
    <row r="61" spans="1:16" s="46" customFormat="1" ht="42.75" customHeight="1">
      <c r="A61" s="805"/>
      <c r="B61" s="127" t="str">
        <f>'입력2(측정)'!B119</f>
        <v>2층 2-12반</v>
      </c>
      <c r="C61" s="127" t="str">
        <f>'입력2(측정)'!C119</f>
        <v>14:05 ~ 15:05</v>
      </c>
      <c r="D61" s="127">
        <f>'입력2(측정)'!D119</f>
        <v>2</v>
      </c>
      <c r="E61" s="503">
        <f>'입력2(측정)'!R119</f>
        <v>21.788879147195534</v>
      </c>
      <c r="F61" s="503">
        <f>'입력2(측정)'!S119</f>
        <v>24.340938948458433</v>
      </c>
      <c r="G61" s="503">
        <f>'입력2(측정)'!T119</f>
        <v>23.064909047826983</v>
      </c>
      <c r="H61" s="122" t="s">
        <v>426</v>
      </c>
      <c r="I61" s="122" t="str">
        <f>IF(G61&gt;30,"부적합","적합")</f>
        <v>적합</v>
      </c>
      <c r="J61" s="805"/>
      <c r="K61" s="805"/>
      <c r="L61" s="805"/>
      <c r="M61" s="805"/>
      <c r="N61" s="805"/>
      <c r="O61" s="805"/>
      <c r="P61" s="810"/>
    </row>
    <row r="62" spans="1:16" s="46" customFormat="1" ht="42.75" customHeight="1">
      <c r="A62" s="805"/>
      <c r="B62" s="127" t="str">
        <f>'입력2(측정)'!B120</f>
        <v>1층 스포티존</v>
      </c>
      <c r="C62" s="127" t="str">
        <f>'입력2(측정)'!C120</f>
        <v>13:00 ~ 14:00</v>
      </c>
      <c r="D62" s="127">
        <f>'입력2(측정)'!D120</f>
        <v>2</v>
      </c>
      <c r="E62" s="503">
        <f>'입력2(측정)'!R120</f>
        <v>17.332717692440752</v>
      </c>
      <c r="F62" s="503">
        <f>'입력2(측정)'!S120</f>
        <v>27.17270338417822</v>
      </c>
      <c r="G62" s="503">
        <f>'입력2(측정)'!T120</f>
        <v>22.252710538309486</v>
      </c>
      <c r="H62" s="122" t="s">
        <v>426</v>
      </c>
      <c r="I62" s="122" t="str">
        <f>IF(G62&gt;30,"부적합","적합")</f>
        <v>적합</v>
      </c>
      <c r="J62" s="805"/>
      <c r="K62" s="805"/>
      <c r="L62" s="805"/>
      <c r="M62" s="805"/>
      <c r="N62" s="805"/>
      <c r="O62" s="805"/>
      <c r="P62" s="810"/>
    </row>
    <row r="63" spans="1:16" s="46" customFormat="1" ht="42.75" customHeight="1">
      <c r="A63" s="805" t="s">
        <v>430</v>
      </c>
      <c r="B63" s="127" t="str">
        <f>'입력2(측정)'!B124</f>
        <v>1층 1-12반</v>
      </c>
      <c r="C63" s="127" t="str">
        <f>'입력2(측정)'!C124</f>
        <v>13:12 ~ 14:12</v>
      </c>
      <c r="D63" s="127">
        <f>'입력2(측정)'!D124</f>
        <v>2</v>
      </c>
      <c r="E63" s="503">
        <f>'입력2(측정)'!R124</f>
        <v>10.445622820514615</v>
      </c>
      <c r="F63" s="503">
        <f>'입력2(측정)'!S124</f>
        <v>12.927162419312991</v>
      </c>
      <c r="G63" s="503">
        <f>'입력2(측정)'!T124</f>
        <v>11.686392619913804</v>
      </c>
      <c r="H63" s="122" t="s">
        <v>333</v>
      </c>
      <c r="I63" s="122" t="str">
        <f>IF(G63&gt;1000,"부적합","적합")</f>
        <v>적합</v>
      </c>
      <c r="J63" s="805" t="s">
        <v>187</v>
      </c>
      <c r="K63" s="805" t="s">
        <v>187</v>
      </c>
      <c r="L63" s="805" t="s">
        <v>187</v>
      </c>
      <c r="M63" s="805" t="s">
        <v>187</v>
      </c>
      <c r="N63" s="805" t="s">
        <v>187</v>
      </c>
      <c r="O63" s="805" t="s">
        <v>187</v>
      </c>
      <c r="P63" s="810" t="s">
        <v>208</v>
      </c>
    </row>
    <row r="64" spans="1:16" s="46" customFormat="1" ht="42.75" customHeight="1">
      <c r="A64" s="805"/>
      <c r="B64" s="127" t="str">
        <f>'입력2(측정)'!B125</f>
        <v>2층 2-12반</v>
      </c>
      <c r="C64" s="127" t="str">
        <f>'입력2(측정)'!C125</f>
        <v>14:05 ~ 15:05</v>
      </c>
      <c r="D64" s="127">
        <f>'입력2(측정)'!D125</f>
        <v>2</v>
      </c>
      <c r="E64" s="503">
        <f>'입력2(측정)'!R125</f>
        <v>7.5893834290400202</v>
      </c>
      <c r="F64" s="503">
        <f>'입력2(측정)'!S125</f>
        <v>7.8424756427226354</v>
      </c>
      <c r="G64" s="503">
        <f>'입력2(측정)'!T125</f>
        <v>7.7159295358813278</v>
      </c>
      <c r="H64" s="122" t="s">
        <v>333</v>
      </c>
      <c r="I64" s="122" t="str">
        <f>IF(G64&gt;1000,"부적합","적합")</f>
        <v>적합</v>
      </c>
      <c r="J64" s="805"/>
      <c r="K64" s="805"/>
      <c r="L64" s="805"/>
      <c r="M64" s="805"/>
      <c r="N64" s="805"/>
      <c r="O64" s="805"/>
      <c r="P64" s="810"/>
    </row>
    <row r="65" spans="1:16" s="46" customFormat="1" ht="42.75" customHeight="1">
      <c r="A65" s="805"/>
      <c r="B65" s="127" t="str">
        <f>'입력2(측정)'!B126</f>
        <v>1층 스포티존</v>
      </c>
      <c r="C65" s="127" t="str">
        <f>'입력2(측정)'!C126</f>
        <v>13:00 ~ 14:00</v>
      </c>
      <c r="D65" s="127">
        <f>'입력2(측정)'!D126</f>
        <v>2</v>
      </c>
      <c r="E65" s="503">
        <f>'입력2(측정)'!R126</f>
        <v>18.671660841084371</v>
      </c>
      <c r="F65" s="503">
        <f>'입력2(측정)'!S126</f>
        <v>20.658002632658775</v>
      </c>
      <c r="G65" s="503">
        <f>'입력2(측정)'!T126</f>
        <v>19.664831736871573</v>
      </c>
      <c r="H65" s="122" t="s">
        <v>333</v>
      </c>
      <c r="I65" s="122" t="str">
        <f>IF(G65&gt;1000,"부적합","적합")</f>
        <v>적합</v>
      </c>
      <c r="J65" s="805"/>
      <c r="K65" s="805"/>
      <c r="L65" s="805"/>
      <c r="M65" s="805"/>
      <c r="N65" s="805"/>
      <c r="O65" s="805"/>
      <c r="P65" s="810"/>
    </row>
    <row r="66" spans="1:16" s="46" customFormat="1" ht="42.75" customHeight="1">
      <c r="A66" s="805" t="s">
        <v>417</v>
      </c>
      <c r="B66" s="127" t="str">
        <f>'입력2(측정)'!B121</f>
        <v>1층 1-12반</v>
      </c>
      <c r="C66" s="127" t="str">
        <f>'입력2(측정)'!C121</f>
        <v>13:12 ~ 14:12</v>
      </c>
      <c r="D66" s="127">
        <f>'입력2(측정)'!D121</f>
        <v>2</v>
      </c>
      <c r="E66" s="503">
        <f>'입력2(측정)'!R121</f>
        <v>3.209681993269129</v>
      </c>
      <c r="F66" s="503">
        <f>'입력2(측정)'!S121</f>
        <v>5.2266940320574484</v>
      </c>
      <c r="G66" s="503">
        <f>'입력2(측정)'!T121</f>
        <v>4.2181880126632887</v>
      </c>
      <c r="H66" s="122" t="s">
        <v>408</v>
      </c>
      <c r="I66" s="122" t="str">
        <f>IF(G66&gt;360,"부적합","적합")</f>
        <v>적합</v>
      </c>
      <c r="J66" s="805" t="s">
        <v>187</v>
      </c>
      <c r="K66" s="805" t="s">
        <v>187</v>
      </c>
      <c r="L66" s="805" t="s">
        <v>187</v>
      </c>
      <c r="M66" s="805" t="s">
        <v>187</v>
      </c>
      <c r="N66" s="805" t="s">
        <v>187</v>
      </c>
      <c r="O66" s="805" t="s">
        <v>187</v>
      </c>
      <c r="P66" s="810" t="s">
        <v>208</v>
      </c>
    </row>
    <row r="67" spans="1:16" s="46" customFormat="1" ht="42.75" customHeight="1">
      <c r="A67" s="805"/>
      <c r="B67" s="127" t="str">
        <f>'입력2(측정)'!B122</f>
        <v>2층 2-12반</v>
      </c>
      <c r="C67" s="127" t="str">
        <f>'입력2(측정)'!C122</f>
        <v>14:05 ~ 15:05</v>
      </c>
      <c r="D67" s="127">
        <f>'입력2(측정)'!D122</f>
        <v>2</v>
      </c>
      <c r="E67" s="503">
        <f>'입력2(측정)'!R122</f>
        <v>2.780353065279999</v>
      </c>
      <c r="F67" s="503">
        <f>'입력2(측정)'!S122</f>
        <v>2.8931103696728173</v>
      </c>
      <c r="G67" s="503">
        <f>'입력2(측정)'!T122</f>
        <v>2.8367317174764084</v>
      </c>
      <c r="H67" s="122" t="s">
        <v>408</v>
      </c>
      <c r="I67" s="122" t="str">
        <f>IF(G67&gt;360,"부적합","적합")</f>
        <v>적합</v>
      </c>
      <c r="J67" s="805"/>
      <c r="K67" s="805"/>
      <c r="L67" s="805"/>
      <c r="M67" s="805"/>
      <c r="N67" s="805"/>
      <c r="O67" s="805"/>
      <c r="P67" s="810"/>
    </row>
    <row r="68" spans="1:16" s="46" customFormat="1" ht="42.75" customHeight="1">
      <c r="A68" s="805"/>
      <c r="B68" s="127" t="str">
        <f>'입력2(측정)'!B123</f>
        <v>1층 스포티존</v>
      </c>
      <c r="C68" s="127" t="str">
        <f>'입력2(측정)'!C123</f>
        <v>13:00 ~ 14:00</v>
      </c>
      <c r="D68" s="127">
        <f>'입력2(측정)'!D123</f>
        <v>2</v>
      </c>
      <c r="E68" s="503">
        <f>'입력2(측정)'!R123</f>
        <v>3.8468345877681003</v>
      </c>
      <c r="F68" s="503">
        <f>'입력2(측정)'!S123</f>
        <v>5.393401591349658</v>
      </c>
      <c r="G68" s="503">
        <f>'입력2(측정)'!T123</f>
        <v>4.6201180895588791</v>
      </c>
      <c r="H68" s="122" t="s">
        <v>408</v>
      </c>
      <c r="I68" s="122" t="str">
        <f>IF(G68&gt;360,"부적합","적합")</f>
        <v>적합</v>
      </c>
      <c r="J68" s="805"/>
      <c r="K68" s="805"/>
      <c r="L68" s="805"/>
      <c r="M68" s="805"/>
      <c r="N68" s="805"/>
      <c r="O68" s="805"/>
      <c r="P68" s="810"/>
    </row>
    <row r="69" spans="1:16" s="46" customFormat="1" ht="42.75" customHeight="1">
      <c r="A69" s="805" t="s">
        <v>422</v>
      </c>
      <c r="B69" s="127" t="str">
        <f>'입력2(측정)'!B127</f>
        <v>1층 1-12반</v>
      </c>
      <c r="C69" s="127" t="str">
        <f>'입력2(측정)'!C127</f>
        <v>13:12 ~ 14:12</v>
      </c>
      <c r="D69" s="127">
        <f>'입력2(측정)'!D127</f>
        <v>2</v>
      </c>
      <c r="E69" s="503">
        <f>'입력2(측정)'!R127</f>
        <v>6.5804780239227458</v>
      </c>
      <c r="F69" s="503">
        <f>'입력2(측정)'!S127</f>
        <v>9.7124184541498693</v>
      </c>
      <c r="G69" s="503">
        <f>'입력2(측정)'!T127</f>
        <v>8.1464482390363067</v>
      </c>
      <c r="H69" s="122" t="s">
        <v>429</v>
      </c>
      <c r="I69" s="122" t="str">
        <f>IF(G69&gt;700,"부적합","적합")</f>
        <v>적합</v>
      </c>
      <c r="J69" s="805" t="s">
        <v>187</v>
      </c>
      <c r="K69" s="805" t="s">
        <v>187</v>
      </c>
      <c r="L69" s="805" t="s">
        <v>187</v>
      </c>
      <c r="M69" s="805" t="s">
        <v>187</v>
      </c>
      <c r="N69" s="805" t="s">
        <v>187</v>
      </c>
      <c r="O69" s="805" t="s">
        <v>187</v>
      </c>
      <c r="P69" s="810" t="s">
        <v>208</v>
      </c>
    </row>
    <row r="70" spans="1:16" s="46" customFormat="1" ht="42.75" customHeight="1">
      <c r="A70" s="805"/>
      <c r="B70" s="127" t="str">
        <f>'입력2(측정)'!B128</f>
        <v>2층 2-12반</v>
      </c>
      <c r="C70" s="127" t="str">
        <f>'입력2(측정)'!C128</f>
        <v>14:05 ~ 15:05</v>
      </c>
      <c r="D70" s="127">
        <f>'입력2(측정)'!D128</f>
        <v>2</v>
      </c>
      <c r="E70" s="503">
        <f>'입력2(측정)'!R128</f>
        <v>6.062206451351539</v>
      </c>
      <c r="F70" s="503">
        <f>'입력2(측정)'!S128</f>
        <v>6.838889008883589</v>
      </c>
      <c r="G70" s="503">
        <f>'입력2(측정)'!T128</f>
        <v>6.450547730117564</v>
      </c>
      <c r="H70" s="122" t="s">
        <v>429</v>
      </c>
      <c r="I70" s="122" t="str">
        <f>IF(G70&gt;700,"부적합","적합")</f>
        <v>적합</v>
      </c>
      <c r="J70" s="805"/>
      <c r="K70" s="805"/>
      <c r="L70" s="805"/>
      <c r="M70" s="805"/>
      <c r="N70" s="805"/>
      <c r="O70" s="805"/>
      <c r="P70" s="810"/>
    </row>
    <row r="71" spans="1:16" s="46" customFormat="1" ht="42.75" customHeight="1">
      <c r="A71" s="805"/>
      <c r="B71" s="127" t="str">
        <f>'입력2(측정)'!B129</f>
        <v>1층 스포티존</v>
      </c>
      <c r="C71" s="127" t="str">
        <f>'입력2(측정)'!C129</f>
        <v>13:00 ~ 14:00</v>
      </c>
      <c r="D71" s="127">
        <f>'입력2(측정)'!D129</f>
        <v>2</v>
      </c>
      <c r="E71" s="503">
        <f>'입력2(측정)'!R129</f>
        <v>7.8918895662732664</v>
      </c>
      <c r="F71" s="503">
        <f>'입력2(측정)'!S129</f>
        <v>12.599521994407901</v>
      </c>
      <c r="G71" s="503">
        <f>'입력2(측정)'!T129</f>
        <v>10.245705780340584</v>
      </c>
      <c r="H71" s="122" t="s">
        <v>429</v>
      </c>
      <c r="I71" s="122" t="str">
        <f>IF(G71&gt;700,"부적합","적합")</f>
        <v>적합</v>
      </c>
      <c r="J71" s="805"/>
      <c r="K71" s="805"/>
      <c r="L71" s="805"/>
      <c r="M71" s="805"/>
      <c r="N71" s="805"/>
      <c r="O71" s="805"/>
      <c r="P71" s="810"/>
    </row>
    <row r="72" spans="1:16" s="46" customFormat="1" ht="42.75" customHeight="1">
      <c r="A72" s="805" t="s">
        <v>420</v>
      </c>
      <c r="B72" s="127" t="str">
        <f>'입력2(측정)'!B130</f>
        <v>1층 1-12반</v>
      </c>
      <c r="C72" s="127" t="str">
        <f>'입력2(측정)'!C130</f>
        <v>13:12 ~ 14:12</v>
      </c>
      <c r="D72" s="127">
        <f>'입력2(측정)'!D130</f>
        <v>2</v>
      </c>
      <c r="E72" s="503">
        <f>'입력2(측정)'!R130</f>
        <v>0.94087966173324877</v>
      </c>
      <c r="F72" s="503">
        <f>'입력2(측정)'!S130</f>
        <v>1.4751260030720252</v>
      </c>
      <c r="G72" s="503">
        <f>'입력2(측정)'!T130</f>
        <v>1.2080028324026371</v>
      </c>
      <c r="H72" s="122" t="s">
        <v>473</v>
      </c>
      <c r="I72" s="122" t="str">
        <f>IF(G72&gt;300,"부적합","적합")</f>
        <v>적합</v>
      </c>
      <c r="J72" s="805" t="s">
        <v>187</v>
      </c>
      <c r="K72" s="805" t="s">
        <v>187</v>
      </c>
      <c r="L72" s="805" t="s">
        <v>187</v>
      </c>
      <c r="M72" s="805" t="s">
        <v>187</v>
      </c>
      <c r="N72" s="805" t="s">
        <v>187</v>
      </c>
      <c r="O72" s="805" t="s">
        <v>187</v>
      </c>
      <c r="P72" s="810" t="s">
        <v>208</v>
      </c>
    </row>
    <row r="73" spans="1:16" s="46" customFormat="1" ht="42.75" customHeight="1">
      <c r="A73" s="805"/>
      <c r="B73" s="127" t="str">
        <f>'입력2(측정)'!B131</f>
        <v>2층 2-12반</v>
      </c>
      <c r="C73" s="127" t="str">
        <f>'입력2(측정)'!C131</f>
        <v>14:05 ~ 15:05</v>
      </c>
      <c r="D73" s="127">
        <f>'입력2(측정)'!D131</f>
        <v>2</v>
      </c>
      <c r="E73" s="503">
        <f>'입력2(측정)'!R131</f>
        <v>0.49660870559804471</v>
      </c>
      <c r="F73" s="503">
        <f>'입력2(측정)'!S131</f>
        <v>1.0224146867263504</v>
      </c>
      <c r="G73" s="503">
        <f>'입력2(측정)'!T131</f>
        <v>0.75951169616219749</v>
      </c>
      <c r="H73" s="122" t="s">
        <v>473</v>
      </c>
      <c r="I73" s="122" t="str">
        <f>IF(G73&gt;300,"부적합","적합")</f>
        <v>적합</v>
      </c>
      <c r="J73" s="805"/>
      <c r="K73" s="805"/>
      <c r="L73" s="805"/>
      <c r="M73" s="805"/>
      <c r="N73" s="805"/>
      <c r="O73" s="805"/>
      <c r="P73" s="810"/>
    </row>
    <row r="74" spans="1:16" s="46" customFormat="1" ht="42.75" customHeight="1">
      <c r="A74" s="805"/>
      <c r="B74" s="127" t="str">
        <f>'입력2(측정)'!B132</f>
        <v>1층 스포티존</v>
      </c>
      <c r="C74" s="127" t="str">
        <f>'입력2(측정)'!C132</f>
        <v>13:00 ~ 14:00</v>
      </c>
      <c r="D74" s="127">
        <f>'입력2(측정)'!D132</f>
        <v>2</v>
      </c>
      <c r="E74" s="503">
        <f>'입력2(측정)'!R132</f>
        <v>0.85996291814298997</v>
      </c>
      <c r="F74" s="503">
        <f>'입력2(측정)'!S132</f>
        <v>1.0812463118396591</v>
      </c>
      <c r="G74" s="503">
        <f>'입력2(측정)'!T132</f>
        <v>0.97060461499132455</v>
      </c>
      <c r="H74" s="122" t="s">
        <v>473</v>
      </c>
      <c r="I74" s="122" t="str">
        <f>IF(G74&gt;300,"부적합","적합")</f>
        <v>적합</v>
      </c>
      <c r="J74" s="805"/>
      <c r="K74" s="805"/>
      <c r="L74" s="805"/>
      <c r="M74" s="805"/>
      <c r="N74" s="805"/>
      <c r="O74" s="805"/>
      <c r="P74" s="810"/>
    </row>
    <row r="75" spans="1:16" s="46" customFormat="1" ht="42.75" customHeight="1">
      <c r="A75" s="815" t="s">
        <v>501</v>
      </c>
      <c r="B75" s="816"/>
      <c r="C75" s="816"/>
      <c r="D75" s="816"/>
      <c r="E75" s="816"/>
      <c r="F75" s="816"/>
      <c r="G75" s="816"/>
      <c r="H75" s="816"/>
      <c r="I75" s="816"/>
      <c r="J75" s="816"/>
      <c r="K75" s="816"/>
      <c r="L75" s="816"/>
      <c r="M75" s="816"/>
      <c r="N75" s="816"/>
      <c r="O75" s="816"/>
      <c r="P75" s="816"/>
    </row>
    <row r="76" spans="1:16" s="46" customFormat="1" ht="42.75" customHeight="1">
      <c r="A76" s="817" t="s">
        <v>167</v>
      </c>
      <c r="B76" s="817" t="s">
        <v>168</v>
      </c>
      <c r="C76" s="817"/>
      <c r="D76" s="818" t="s">
        <v>59</v>
      </c>
      <c r="E76" s="817" t="s">
        <v>126</v>
      </c>
      <c r="F76" s="817"/>
      <c r="G76" s="817"/>
      <c r="H76" s="821" t="s">
        <v>194</v>
      </c>
      <c r="I76" s="821" t="s">
        <v>245</v>
      </c>
      <c r="J76" s="817" t="s">
        <v>140</v>
      </c>
      <c r="K76" s="817"/>
      <c r="L76" s="817"/>
      <c r="M76" s="817"/>
      <c r="N76" s="821" t="s">
        <v>103</v>
      </c>
      <c r="O76" s="824" t="s">
        <v>191</v>
      </c>
      <c r="P76" s="825"/>
    </row>
    <row r="77" spans="1:16" s="46" customFormat="1" ht="42.75" customHeight="1">
      <c r="A77" s="817"/>
      <c r="B77" s="821" t="s">
        <v>239</v>
      </c>
      <c r="C77" s="821" t="s">
        <v>239</v>
      </c>
      <c r="D77" s="819"/>
      <c r="E77" s="817" t="s">
        <v>218</v>
      </c>
      <c r="F77" s="817" t="s">
        <v>185</v>
      </c>
      <c r="G77" s="817" t="s">
        <v>183</v>
      </c>
      <c r="H77" s="822"/>
      <c r="I77" s="822"/>
      <c r="J77" s="821" t="s">
        <v>232</v>
      </c>
      <c r="K77" s="817" t="s">
        <v>277</v>
      </c>
      <c r="L77" s="817" t="s">
        <v>290</v>
      </c>
      <c r="M77" s="821" t="s">
        <v>174</v>
      </c>
      <c r="N77" s="822"/>
      <c r="O77" s="826"/>
      <c r="P77" s="827"/>
    </row>
    <row r="78" spans="1:16" s="46" customFormat="1" ht="42.75" customHeight="1">
      <c r="A78" s="817"/>
      <c r="B78" s="823"/>
      <c r="C78" s="823"/>
      <c r="D78" s="820"/>
      <c r="E78" s="817"/>
      <c r="F78" s="817"/>
      <c r="G78" s="817"/>
      <c r="H78" s="823"/>
      <c r="I78" s="823"/>
      <c r="J78" s="823"/>
      <c r="K78" s="817"/>
      <c r="L78" s="817"/>
      <c r="M78" s="823"/>
      <c r="N78" s="823"/>
      <c r="O78" s="828"/>
      <c r="P78" s="829"/>
    </row>
    <row r="79" spans="1:16" ht="42.75" customHeight="1">
      <c r="A79" s="821" t="s">
        <v>453</v>
      </c>
      <c r="B79" s="48" t="str">
        <f>'입력2(측정)'!B76</f>
        <v>5층 1-9반</v>
      </c>
      <c r="C79" s="48" t="str">
        <f>'입력2(측정)'!C76</f>
        <v>13:03 ~ 13:13</v>
      </c>
      <c r="D79" s="95">
        <f>'입력2(측정)'!D76</f>
        <v>9</v>
      </c>
      <c r="E79" s="501">
        <f>'입력2(측정)'!R76</f>
        <v>334</v>
      </c>
      <c r="F79" s="501">
        <f>'입력2(측정)'!S76</f>
        <v>481</v>
      </c>
      <c r="G79" s="501">
        <f>'입력2(측정)'!T76</f>
        <v>405.22222222222223</v>
      </c>
      <c r="H79" s="48" t="s">
        <v>463</v>
      </c>
      <c r="I79" s="48" t="str">
        <f t="shared" ref="I79:I85" si="4">IF(G79&gt;=300,"적합","부적합")</f>
        <v>적합</v>
      </c>
      <c r="J79" s="821" t="s">
        <v>313</v>
      </c>
      <c r="K79" s="821" t="s">
        <v>438</v>
      </c>
      <c r="L79" s="821" t="s">
        <v>433</v>
      </c>
      <c r="M79" s="821" t="s">
        <v>164</v>
      </c>
      <c r="N79" s="821" t="s">
        <v>157</v>
      </c>
      <c r="O79" s="824" t="s">
        <v>208</v>
      </c>
      <c r="P79" s="825"/>
    </row>
    <row r="80" spans="1:16" ht="42.75" customHeight="1">
      <c r="A80" s="822"/>
      <c r="B80" s="48" t="str">
        <f>'입력2(측정)'!B78</f>
        <v>4층 1-7반</v>
      </c>
      <c r="C80" s="48" t="str">
        <f>'입력2(측정)'!C78</f>
        <v>13:15 ~ 13:25</v>
      </c>
      <c r="D80" s="95">
        <f>'입력2(측정)'!D78</f>
        <v>9</v>
      </c>
      <c r="E80" s="501">
        <f>'입력2(측정)'!R78</f>
        <v>427</v>
      </c>
      <c r="F80" s="501">
        <f>'입력2(측정)'!S78</f>
        <v>568</v>
      </c>
      <c r="G80" s="501">
        <f>'입력2(측정)'!T78</f>
        <v>504.55555555555554</v>
      </c>
      <c r="H80" s="48" t="s">
        <v>463</v>
      </c>
      <c r="I80" s="48" t="str">
        <f t="shared" si="4"/>
        <v>적합</v>
      </c>
      <c r="J80" s="822"/>
      <c r="K80" s="822"/>
      <c r="L80" s="822"/>
      <c r="M80" s="822"/>
      <c r="N80" s="822"/>
      <c r="O80" s="826"/>
      <c r="P80" s="827"/>
    </row>
    <row r="81" spans="1:16" ht="42.75" customHeight="1">
      <c r="A81" s="822"/>
      <c r="B81" s="48" t="str">
        <f>'입력2(측정)'!B80</f>
        <v>2층 (도제)세무실무실습실</v>
      </c>
      <c r="C81" s="48" t="str">
        <f>'입력2(측정)'!C80</f>
        <v>13:26 ~ 13:36</v>
      </c>
      <c r="D81" s="95">
        <f>'입력2(측정)'!D80</f>
        <v>9</v>
      </c>
      <c r="E81" s="501">
        <f>'입력2(측정)'!R80</f>
        <v>612</v>
      </c>
      <c r="F81" s="501">
        <f>'입력2(측정)'!S80</f>
        <v>893</v>
      </c>
      <c r="G81" s="501">
        <f>'입력2(측정)'!T80</f>
        <v>745.33333333333337</v>
      </c>
      <c r="H81" s="48" t="s">
        <v>463</v>
      </c>
      <c r="I81" s="48" t="str">
        <f t="shared" si="4"/>
        <v>적합</v>
      </c>
      <c r="J81" s="822"/>
      <c r="K81" s="822"/>
      <c r="L81" s="822"/>
      <c r="M81" s="822"/>
      <c r="N81" s="822"/>
      <c r="O81" s="826"/>
      <c r="P81" s="827"/>
    </row>
    <row r="82" spans="1:16" ht="42.75" customHeight="1">
      <c r="A82" s="822"/>
      <c r="B82" s="127" t="s">
        <v>187</v>
      </c>
      <c r="C82" s="127" t="s">
        <v>187</v>
      </c>
      <c r="D82" s="327" t="s">
        <v>187</v>
      </c>
      <c r="E82" s="123" t="s">
        <v>187</v>
      </c>
      <c r="F82" s="123" t="s">
        <v>187</v>
      </c>
      <c r="G82" s="123" t="s">
        <v>187</v>
      </c>
      <c r="H82" s="122" t="s">
        <v>187</v>
      </c>
      <c r="I82" s="122" t="s">
        <v>187</v>
      </c>
      <c r="J82" s="823"/>
      <c r="K82" s="823"/>
      <c r="L82" s="823"/>
      <c r="M82" s="823"/>
      <c r="N82" s="823"/>
      <c r="O82" s="828"/>
      <c r="P82" s="829"/>
    </row>
    <row r="83" spans="1:16" ht="42.75" customHeight="1">
      <c r="A83" s="821" t="s">
        <v>464</v>
      </c>
      <c r="B83" s="115" t="str">
        <f>'입력2(측정)'!B84</f>
        <v>5층 1-9반</v>
      </c>
      <c r="C83" s="115" t="str">
        <f>'입력2(측정)'!C84</f>
        <v>13:03 ~ 13:13</v>
      </c>
      <c r="D83" s="95">
        <f>'입력2(측정)'!D84</f>
        <v>9</v>
      </c>
      <c r="E83" s="501">
        <f>'입력2(측정)'!R84</f>
        <v>732</v>
      </c>
      <c r="F83" s="501">
        <f>'입력2(측정)'!S84</f>
        <v>953</v>
      </c>
      <c r="G83" s="501">
        <f>'입력2(측정)'!T84</f>
        <v>839.77777777777783</v>
      </c>
      <c r="H83" s="48" t="s">
        <v>463</v>
      </c>
      <c r="I83" s="48" t="str">
        <f t="shared" si="4"/>
        <v>적합</v>
      </c>
      <c r="J83" s="821" t="s">
        <v>313</v>
      </c>
      <c r="K83" s="821" t="s">
        <v>438</v>
      </c>
      <c r="L83" s="821" t="s">
        <v>433</v>
      </c>
      <c r="M83" s="821" t="s">
        <v>164</v>
      </c>
      <c r="N83" s="821" t="s">
        <v>157</v>
      </c>
      <c r="O83" s="824" t="s">
        <v>208</v>
      </c>
      <c r="P83" s="825"/>
    </row>
    <row r="84" spans="1:16" ht="42.75" customHeight="1">
      <c r="A84" s="822"/>
      <c r="B84" s="115" t="str">
        <f>'입력2(측정)'!B86</f>
        <v>4층 1-7반</v>
      </c>
      <c r="C84" s="115" t="str">
        <f>'입력2(측정)'!C86</f>
        <v>13:15 ~ 13:25</v>
      </c>
      <c r="D84" s="95">
        <f>'입력2(측정)'!D86</f>
        <v>9</v>
      </c>
      <c r="E84" s="501">
        <f>'입력2(측정)'!R86</f>
        <v>689</v>
      </c>
      <c r="F84" s="501">
        <f>'입력2(측정)'!S86</f>
        <v>896</v>
      </c>
      <c r="G84" s="501">
        <f>'입력2(측정)'!T86</f>
        <v>773.55555555555554</v>
      </c>
      <c r="H84" s="48" t="s">
        <v>463</v>
      </c>
      <c r="I84" s="48" t="str">
        <f t="shared" si="4"/>
        <v>적합</v>
      </c>
      <c r="J84" s="822"/>
      <c r="K84" s="822"/>
      <c r="L84" s="822"/>
      <c r="M84" s="822"/>
      <c r="N84" s="822"/>
      <c r="O84" s="826"/>
      <c r="P84" s="827"/>
    </row>
    <row r="85" spans="1:16" ht="42.75" customHeight="1">
      <c r="A85" s="822"/>
      <c r="B85" s="107" t="str">
        <f>'입력2(측정)'!B88</f>
        <v>2층 (도제)세무실무실습실</v>
      </c>
      <c r="C85" s="107" t="str">
        <f>'입력2(측정)'!C88</f>
        <v>13:26 ~ 13:36</v>
      </c>
      <c r="D85" s="95">
        <f>'입력2(측정)'!D88</f>
        <v>9</v>
      </c>
      <c r="E85" s="501">
        <f>'입력2(측정)'!R88</f>
        <v>642</v>
      </c>
      <c r="F85" s="501">
        <f>'입력2(측정)'!S88</f>
        <v>872</v>
      </c>
      <c r="G85" s="501">
        <f>'입력2(측정)'!T88</f>
        <v>720.11111111111109</v>
      </c>
      <c r="H85" s="48" t="s">
        <v>463</v>
      </c>
      <c r="I85" s="48" t="str">
        <f t="shared" si="4"/>
        <v>적합</v>
      </c>
      <c r="J85" s="822"/>
      <c r="K85" s="822"/>
      <c r="L85" s="822"/>
      <c r="M85" s="822"/>
      <c r="N85" s="822"/>
      <c r="O85" s="826"/>
      <c r="P85" s="827"/>
    </row>
    <row r="86" spans="1:16" ht="42.75" customHeight="1">
      <c r="A86" s="822"/>
      <c r="B86" s="127" t="s">
        <v>187</v>
      </c>
      <c r="C86" s="127" t="s">
        <v>187</v>
      </c>
      <c r="D86" s="327" t="s">
        <v>187</v>
      </c>
      <c r="E86" s="123" t="s">
        <v>187</v>
      </c>
      <c r="F86" s="123" t="s">
        <v>187</v>
      </c>
      <c r="G86" s="123" t="s">
        <v>187</v>
      </c>
      <c r="H86" s="122" t="s">
        <v>187</v>
      </c>
      <c r="I86" s="122" t="s">
        <v>187</v>
      </c>
      <c r="J86" s="823"/>
      <c r="K86" s="823"/>
      <c r="L86" s="823"/>
      <c r="M86" s="823"/>
      <c r="N86" s="823"/>
      <c r="O86" s="828"/>
      <c r="P86" s="829"/>
    </row>
    <row r="87" spans="1:16" ht="42.75" customHeight="1">
      <c r="A87" s="821" t="s">
        <v>406</v>
      </c>
      <c r="B87" s="48" t="str">
        <f>'입력2(측정)'!B92</f>
        <v>5층 1-9반</v>
      </c>
      <c r="C87" s="48" t="str">
        <f>'입력2(측정)'!C92</f>
        <v>13:03 ~ 13:13</v>
      </c>
      <c r="D87" s="95" t="s">
        <v>187</v>
      </c>
      <c r="E87" s="95" t="s">
        <v>187</v>
      </c>
      <c r="F87" s="95" t="s">
        <v>187</v>
      </c>
      <c r="G87" s="502">
        <f>'입력2(측정)'!T92</f>
        <v>1.4401197604790419</v>
      </c>
      <c r="H87" s="48" t="s">
        <v>153</v>
      </c>
      <c r="I87" s="48" t="str">
        <f t="shared" ref="I87:I93" si="5">IF(G87&gt;3,"부적합","적합")</f>
        <v>적합</v>
      </c>
      <c r="J87" s="821" t="s">
        <v>313</v>
      </c>
      <c r="K87" s="821" t="s">
        <v>438</v>
      </c>
      <c r="L87" s="821" t="s">
        <v>433</v>
      </c>
      <c r="M87" s="821" t="s">
        <v>401</v>
      </c>
      <c r="N87" s="821" t="s">
        <v>157</v>
      </c>
      <c r="O87" s="824" t="s">
        <v>208</v>
      </c>
      <c r="P87" s="825"/>
    </row>
    <row r="88" spans="1:16" ht="42.75" customHeight="1">
      <c r="A88" s="822"/>
      <c r="B88" s="48" t="str">
        <f>'입력2(측정)'!B94</f>
        <v>4층 1-7반</v>
      </c>
      <c r="C88" s="48" t="str">
        <f>'입력2(측정)'!C94</f>
        <v>13:15 ~ 13:25</v>
      </c>
      <c r="D88" s="95" t="s">
        <v>187</v>
      </c>
      <c r="E88" s="95" t="s">
        <v>187</v>
      </c>
      <c r="F88" s="95" t="s">
        <v>187</v>
      </c>
      <c r="G88" s="502">
        <f>'입력2(측정)'!T94</f>
        <v>1.3302107728337236</v>
      </c>
      <c r="H88" s="48" t="s">
        <v>153</v>
      </c>
      <c r="I88" s="48" t="str">
        <f t="shared" si="5"/>
        <v>적합</v>
      </c>
      <c r="J88" s="822"/>
      <c r="K88" s="822"/>
      <c r="L88" s="822"/>
      <c r="M88" s="822"/>
      <c r="N88" s="822"/>
      <c r="O88" s="826"/>
      <c r="P88" s="827"/>
    </row>
    <row r="89" spans="1:16" ht="42.75" customHeight="1">
      <c r="A89" s="822"/>
      <c r="B89" s="48" t="str">
        <f>'입력2(측정)'!B96</f>
        <v>2층 (도제)세무실무실습실</v>
      </c>
      <c r="C89" s="48" t="str">
        <f>'입력2(측정)'!C96</f>
        <v>13:26 ~ 13:36</v>
      </c>
      <c r="D89" s="95" t="s">
        <v>187</v>
      </c>
      <c r="E89" s="95" t="s">
        <v>187</v>
      </c>
      <c r="F89" s="95" t="s">
        <v>187</v>
      </c>
      <c r="G89" s="502">
        <f>'입력2(측정)'!T96</f>
        <v>1.4591503267973855</v>
      </c>
      <c r="H89" s="48" t="s">
        <v>153</v>
      </c>
      <c r="I89" s="48" t="str">
        <f t="shared" si="5"/>
        <v>적합</v>
      </c>
      <c r="J89" s="822"/>
      <c r="K89" s="822"/>
      <c r="L89" s="822"/>
      <c r="M89" s="822"/>
      <c r="N89" s="822"/>
      <c r="O89" s="826"/>
      <c r="P89" s="827"/>
    </row>
    <row r="90" spans="1:16" ht="42.75" customHeight="1">
      <c r="A90" s="823"/>
      <c r="B90" s="127" t="s">
        <v>187</v>
      </c>
      <c r="C90" s="127" t="s">
        <v>187</v>
      </c>
      <c r="D90" s="327" t="s">
        <v>187</v>
      </c>
      <c r="E90" s="123" t="s">
        <v>187</v>
      </c>
      <c r="F90" s="123" t="s">
        <v>187</v>
      </c>
      <c r="G90" s="123" t="s">
        <v>187</v>
      </c>
      <c r="H90" s="122" t="s">
        <v>187</v>
      </c>
      <c r="I90" s="122" t="s">
        <v>187</v>
      </c>
      <c r="J90" s="823"/>
      <c r="K90" s="823"/>
      <c r="L90" s="823"/>
      <c r="M90" s="823"/>
      <c r="N90" s="823"/>
      <c r="O90" s="828"/>
      <c r="P90" s="829"/>
    </row>
    <row r="91" spans="1:16" ht="42.75" customHeight="1">
      <c r="A91" s="821" t="s">
        <v>448</v>
      </c>
      <c r="B91" s="115" t="str">
        <f>'입력2(측정)'!B100</f>
        <v>5층 1-9반</v>
      </c>
      <c r="C91" s="115" t="str">
        <f>'입력2(측정)'!C100</f>
        <v>13:03 ~ 13:13</v>
      </c>
      <c r="D91" s="95" t="s">
        <v>187</v>
      </c>
      <c r="E91" s="95" t="s">
        <v>187</v>
      </c>
      <c r="F91" s="95" t="s">
        <v>187</v>
      </c>
      <c r="G91" s="502">
        <f>'입력2(측정)'!T100</f>
        <v>1.3019125683060109</v>
      </c>
      <c r="H91" s="48" t="s">
        <v>153</v>
      </c>
      <c r="I91" s="48" t="str">
        <f t="shared" si="5"/>
        <v>적합</v>
      </c>
      <c r="J91" s="821" t="s">
        <v>313</v>
      </c>
      <c r="K91" s="821" t="s">
        <v>438</v>
      </c>
      <c r="L91" s="821" t="s">
        <v>433</v>
      </c>
      <c r="M91" s="821" t="s">
        <v>164</v>
      </c>
      <c r="N91" s="821" t="s">
        <v>157</v>
      </c>
      <c r="O91" s="824" t="s">
        <v>208</v>
      </c>
      <c r="P91" s="825"/>
    </row>
    <row r="92" spans="1:16" ht="42.75" customHeight="1">
      <c r="A92" s="822"/>
      <c r="B92" s="115" t="str">
        <f>'입력2(측정)'!B102</f>
        <v>4층 1-7반</v>
      </c>
      <c r="C92" s="115" t="str">
        <f>'입력2(측정)'!C102</f>
        <v>13:15 ~ 13:25</v>
      </c>
      <c r="D92" s="95" t="s">
        <v>187</v>
      </c>
      <c r="E92" s="95" t="s">
        <v>187</v>
      </c>
      <c r="F92" s="95" t="s">
        <v>187</v>
      </c>
      <c r="G92" s="502">
        <f>'입력2(측정)'!T102</f>
        <v>1.3004354136429608</v>
      </c>
      <c r="H92" s="48" t="s">
        <v>153</v>
      </c>
      <c r="I92" s="48" t="str">
        <f t="shared" si="5"/>
        <v>적합</v>
      </c>
      <c r="J92" s="822"/>
      <c r="K92" s="822"/>
      <c r="L92" s="822"/>
      <c r="M92" s="822"/>
      <c r="N92" s="822"/>
      <c r="O92" s="826"/>
      <c r="P92" s="827"/>
    </row>
    <row r="93" spans="1:16" ht="42.75" customHeight="1">
      <c r="A93" s="822"/>
      <c r="B93" s="115" t="str">
        <f>'입력2(측정)'!B104</f>
        <v>2층 (도제)세무실무실습실</v>
      </c>
      <c r="C93" s="115" t="str">
        <f>'입력2(측정)'!C104</f>
        <v>13:26 ~ 13:36</v>
      </c>
      <c r="D93" s="95" t="s">
        <v>187</v>
      </c>
      <c r="E93" s="95" t="s">
        <v>187</v>
      </c>
      <c r="F93" s="95" t="s">
        <v>187</v>
      </c>
      <c r="G93" s="502">
        <f>'입력2(측정)'!T104</f>
        <v>1.3582554517133956</v>
      </c>
      <c r="H93" s="48" t="s">
        <v>153</v>
      </c>
      <c r="I93" s="48" t="str">
        <f t="shared" si="5"/>
        <v>적합</v>
      </c>
      <c r="J93" s="822"/>
      <c r="K93" s="822"/>
      <c r="L93" s="822"/>
      <c r="M93" s="822"/>
      <c r="N93" s="822"/>
      <c r="O93" s="826"/>
      <c r="P93" s="827"/>
    </row>
    <row r="94" spans="1:16" ht="42.75" customHeight="1">
      <c r="A94" s="823"/>
      <c r="B94" s="127" t="s">
        <v>187</v>
      </c>
      <c r="C94" s="127" t="s">
        <v>187</v>
      </c>
      <c r="D94" s="327" t="s">
        <v>187</v>
      </c>
      <c r="E94" s="123" t="s">
        <v>187</v>
      </c>
      <c r="F94" s="123" t="s">
        <v>187</v>
      </c>
      <c r="G94" s="123" t="s">
        <v>187</v>
      </c>
      <c r="H94" s="122" t="s">
        <v>187</v>
      </c>
      <c r="I94" s="122" t="s">
        <v>187</v>
      </c>
      <c r="J94" s="823"/>
      <c r="K94" s="823"/>
      <c r="L94" s="823"/>
      <c r="M94" s="823"/>
      <c r="N94" s="823"/>
      <c r="O94" s="828"/>
      <c r="P94" s="829"/>
    </row>
    <row r="95" spans="1:16" ht="42.75" customHeight="1">
      <c r="A95" s="821" t="s">
        <v>82</v>
      </c>
      <c r="B95" s="48" t="str">
        <f>'입력2(측정)'!B5</f>
        <v>5층 2-11반</v>
      </c>
      <c r="C95" s="48" t="str">
        <f>'입력2(측정)'!C5</f>
        <v>14:02 ~ 14:12</v>
      </c>
      <c r="D95" s="95">
        <f>'입력2(측정)'!D5</f>
        <v>3</v>
      </c>
      <c r="E95" s="72">
        <f>'입력2(측정)'!R5</f>
        <v>25.2</v>
      </c>
      <c r="F95" s="72">
        <f>'입력2(측정)'!S5</f>
        <v>25.8</v>
      </c>
      <c r="G95" s="72">
        <f>'입력2(측정)'!T5</f>
        <v>25.5</v>
      </c>
      <c r="H95" s="48" t="s">
        <v>72</v>
      </c>
      <c r="I95" s="48" t="str">
        <f>IF(AND(G95&gt;=18,G95&lt;=28),"적합","부적합")</f>
        <v>적합</v>
      </c>
      <c r="J95" s="817" t="s">
        <v>79</v>
      </c>
      <c r="K95" s="817" t="s">
        <v>86</v>
      </c>
      <c r="L95" s="817" t="s">
        <v>462</v>
      </c>
      <c r="M95" s="817" t="s">
        <v>164</v>
      </c>
      <c r="N95" s="821" t="s">
        <v>349</v>
      </c>
      <c r="O95" s="824" t="s">
        <v>208</v>
      </c>
      <c r="P95" s="825"/>
    </row>
    <row r="96" spans="1:16" ht="42.75" customHeight="1">
      <c r="A96" s="822"/>
      <c r="B96" s="48" t="str">
        <f>'입력2(측정)'!B6</f>
        <v>4층 2-4반</v>
      </c>
      <c r="C96" s="48" t="str">
        <f>'입력2(측정)'!C6</f>
        <v>14:13 ~ 14:23</v>
      </c>
      <c r="D96" s="95">
        <f>'입력2(측정)'!D6</f>
        <v>3</v>
      </c>
      <c r="E96" s="72">
        <f>'입력2(측정)'!R6</f>
        <v>24.9</v>
      </c>
      <c r="F96" s="72">
        <f>'입력2(측정)'!S6</f>
        <v>25.3</v>
      </c>
      <c r="G96" s="72">
        <f>'입력2(측정)'!T6</f>
        <v>25.099999999999998</v>
      </c>
      <c r="H96" s="48" t="s">
        <v>72</v>
      </c>
      <c r="I96" s="48" t="str">
        <f t="shared" ref="I96:I97" si="6">IF(AND(G96&gt;=18,G96&lt;=28),"적합","부적합")</f>
        <v>적합</v>
      </c>
      <c r="J96" s="817"/>
      <c r="K96" s="817"/>
      <c r="L96" s="817"/>
      <c r="M96" s="817"/>
      <c r="N96" s="822"/>
      <c r="O96" s="826"/>
      <c r="P96" s="827"/>
    </row>
    <row r="97" spans="1:23" ht="42.75" customHeight="1">
      <c r="A97" s="821"/>
      <c r="B97" s="48" t="str">
        <f>'입력2(측정)'!B7</f>
        <v>1층 (도제)회계실무실습실</v>
      </c>
      <c r="C97" s="48" t="str">
        <f>'입력2(측정)'!C7</f>
        <v>15:00 ~ 15:10</v>
      </c>
      <c r="D97" s="95">
        <f>'입력2(측정)'!D7</f>
        <v>3</v>
      </c>
      <c r="E97" s="72">
        <f>'입력2(측정)'!R7</f>
        <v>25.3</v>
      </c>
      <c r="F97" s="72">
        <f>'입력2(측정)'!S7</f>
        <v>26.2</v>
      </c>
      <c r="G97" s="72">
        <f>'입력2(측정)'!T7</f>
        <v>25.733333333333334</v>
      </c>
      <c r="H97" s="48" t="s">
        <v>72</v>
      </c>
      <c r="I97" s="48" t="str">
        <f t="shared" si="6"/>
        <v>적합</v>
      </c>
      <c r="J97" s="817"/>
      <c r="K97" s="817"/>
      <c r="L97" s="817"/>
      <c r="M97" s="817"/>
      <c r="N97" s="821"/>
      <c r="O97" s="826"/>
      <c r="P97" s="827"/>
    </row>
    <row r="98" spans="1:23" ht="42.75" customHeight="1">
      <c r="A98" s="822"/>
      <c r="B98" s="127" t="s">
        <v>187</v>
      </c>
      <c r="C98" s="127" t="s">
        <v>187</v>
      </c>
      <c r="D98" s="327" t="s">
        <v>187</v>
      </c>
      <c r="E98" s="123" t="s">
        <v>187</v>
      </c>
      <c r="F98" s="123" t="s">
        <v>187</v>
      </c>
      <c r="G98" s="123" t="s">
        <v>187</v>
      </c>
      <c r="H98" s="122" t="s">
        <v>187</v>
      </c>
      <c r="I98" s="122" t="s">
        <v>187</v>
      </c>
      <c r="J98" s="817"/>
      <c r="K98" s="817"/>
      <c r="L98" s="817"/>
      <c r="M98" s="817"/>
      <c r="N98" s="822"/>
      <c r="O98" s="826"/>
      <c r="P98" s="830"/>
    </row>
    <row r="99" spans="1:23" ht="42.75" customHeight="1">
      <c r="A99" s="822"/>
      <c r="B99" s="48" t="s">
        <v>187</v>
      </c>
      <c r="C99" s="48" t="s">
        <v>187</v>
      </c>
      <c r="D99" s="48" t="s">
        <v>187</v>
      </c>
      <c r="E99" s="48" t="s">
        <v>187</v>
      </c>
      <c r="F99" s="48" t="s">
        <v>187</v>
      </c>
      <c r="G99" s="48" t="s">
        <v>187</v>
      </c>
      <c r="H99" s="48" t="s">
        <v>187</v>
      </c>
      <c r="I99" s="48" t="s">
        <v>187</v>
      </c>
      <c r="J99" s="817"/>
      <c r="K99" s="817"/>
      <c r="L99" s="817"/>
      <c r="M99" s="817"/>
      <c r="N99" s="822"/>
      <c r="O99" s="824"/>
      <c r="P99" s="824"/>
    </row>
    <row r="100" spans="1:23" ht="42.75" customHeight="1">
      <c r="A100" s="821"/>
      <c r="B100" s="48" t="s">
        <v>187</v>
      </c>
      <c r="C100" s="48" t="s">
        <v>187</v>
      </c>
      <c r="D100" s="48" t="s">
        <v>187</v>
      </c>
      <c r="E100" s="48" t="s">
        <v>187</v>
      </c>
      <c r="F100" s="48" t="s">
        <v>187</v>
      </c>
      <c r="G100" s="48" t="s">
        <v>187</v>
      </c>
      <c r="H100" s="48" t="s">
        <v>187</v>
      </c>
      <c r="I100" s="48" t="s">
        <v>187</v>
      </c>
      <c r="J100" s="817"/>
      <c r="K100" s="817"/>
      <c r="L100" s="817"/>
      <c r="M100" s="817"/>
      <c r="N100" s="821"/>
      <c r="O100" s="826"/>
      <c r="P100" s="830"/>
    </row>
    <row r="101" spans="1:23" ht="42.75" customHeight="1">
      <c r="A101" s="823"/>
      <c r="B101" s="48" t="s">
        <v>187</v>
      </c>
      <c r="C101" s="48" t="s">
        <v>187</v>
      </c>
      <c r="D101" s="48" t="s">
        <v>187</v>
      </c>
      <c r="E101" s="48" t="s">
        <v>187</v>
      </c>
      <c r="F101" s="48" t="s">
        <v>187</v>
      </c>
      <c r="G101" s="48" t="s">
        <v>187</v>
      </c>
      <c r="H101" s="48" t="s">
        <v>187</v>
      </c>
      <c r="I101" s="48" t="s">
        <v>187</v>
      </c>
      <c r="J101" s="817"/>
      <c r="K101" s="817"/>
      <c r="L101" s="817"/>
      <c r="M101" s="817" t="s">
        <v>164</v>
      </c>
      <c r="N101" s="823" t="s">
        <v>157</v>
      </c>
      <c r="O101" s="828"/>
      <c r="P101" s="829"/>
    </row>
    <row r="102" spans="1:23" ht="42.75" customHeight="1">
      <c r="A102" s="821" t="s">
        <v>88</v>
      </c>
      <c r="B102" s="48" t="str">
        <f>'입력2(측정)'!B12</f>
        <v>5층 2-11반</v>
      </c>
      <c r="C102" s="48" t="str">
        <f>'입력2(측정)'!C12</f>
        <v>14:02 ~ 14:12</v>
      </c>
      <c r="D102" s="95">
        <f>'입력2(측정)'!D12</f>
        <v>3</v>
      </c>
      <c r="E102" s="116">
        <f>'입력2(측정)'!R12</f>
        <v>40.47</v>
      </c>
      <c r="F102" s="116">
        <f>'입력2(측정)'!S12</f>
        <v>42.6</v>
      </c>
      <c r="G102" s="116">
        <f>'입력2(측정)'!T12</f>
        <v>41.389999999999993</v>
      </c>
      <c r="H102" s="48" t="s">
        <v>41</v>
      </c>
      <c r="I102" s="48" t="str">
        <f>IF(AND(G102&gt;=30,G102&lt;=80),"적합","부적합")</f>
        <v>적합</v>
      </c>
      <c r="J102" s="817" t="s">
        <v>79</v>
      </c>
      <c r="K102" s="817" t="s">
        <v>86</v>
      </c>
      <c r="L102" s="817" t="s">
        <v>462</v>
      </c>
      <c r="M102" s="817" t="s">
        <v>332</v>
      </c>
      <c r="N102" s="817" t="s">
        <v>70</v>
      </c>
      <c r="O102" s="824" t="s">
        <v>208</v>
      </c>
      <c r="P102" s="825"/>
    </row>
    <row r="103" spans="1:23" ht="42.75" customHeight="1">
      <c r="A103" s="822"/>
      <c r="B103" s="48" t="str">
        <f>'입력2(측정)'!B13</f>
        <v>4층 2-4반</v>
      </c>
      <c r="C103" s="48" t="str">
        <f>'입력2(측정)'!C13</f>
        <v>14:13 ~ 14:23</v>
      </c>
      <c r="D103" s="95">
        <f>'입력2(측정)'!D13</f>
        <v>3</v>
      </c>
      <c r="E103" s="116">
        <f>'입력2(측정)'!R13</f>
        <v>44.8</v>
      </c>
      <c r="F103" s="116">
        <f>'입력2(측정)'!S13</f>
        <v>46.9</v>
      </c>
      <c r="G103" s="116">
        <f>'입력2(측정)'!T13</f>
        <v>45.666666666666664</v>
      </c>
      <c r="H103" s="48" t="s">
        <v>41</v>
      </c>
      <c r="I103" s="48" t="str">
        <f t="shared" ref="I103:I104" si="7">IF(AND(G103&gt;=30,G103&lt;=80),"적합","부적합")</f>
        <v>적합</v>
      </c>
      <c r="J103" s="817"/>
      <c r="K103" s="817"/>
      <c r="L103" s="817"/>
      <c r="M103" s="817"/>
      <c r="N103" s="817"/>
      <c r="O103" s="826"/>
      <c r="P103" s="827"/>
    </row>
    <row r="104" spans="1:23" ht="42.75" customHeight="1">
      <c r="A104" s="821"/>
      <c r="B104" s="48" t="str">
        <f>'입력2(측정)'!B14</f>
        <v>1층 (도제)회계실무실습실</v>
      </c>
      <c r="C104" s="48" t="str">
        <f>'입력2(측정)'!C14</f>
        <v>15:00 ~ 15:10</v>
      </c>
      <c r="D104" s="95">
        <f>'입력2(측정)'!D14</f>
        <v>3</v>
      </c>
      <c r="E104" s="116">
        <f>'입력2(측정)'!R14</f>
        <v>50.6</v>
      </c>
      <c r="F104" s="116">
        <f>'입력2(측정)'!S14</f>
        <v>52.8</v>
      </c>
      <c r="G104" s="116">
        <f>'입력2(측정)'!T14</f>
        <v>51.70000000000001</v>
      </c>
      <c r="H104" s="48" t="s">
        <v>41</v>
      </c>
      <c r="I104" s="48" t="str">
        <f t="shared" si="7"/>
        <v>적합</v>
      </c>
      <c r="J104" s="817"/>
      <c r="K104" s="817"/>
      <c r="L104" s="817"/>
      <c r="M104" s="817"/>
      <c r="N104" s="817"/>
      <c r="O104" s="826"/>
      <c r="P104" s="827"/>
    </row>
    <row r="105" spans="1:23" ht="42.75" customHeight="1">
      <c r="A105" s="822"/>
      <c r="B105" s="127" t="s">
        <v>187</v>
      </c>
      <c r="C105" s="127" t="s">
        <v>187</v>
      </c>
      <c r="D105" s="327" t="s">
        <v>187</v>
      </c>
      <c r="E105" s="123" t="s">
        <v>187</v>
      </c>
      <c r="F105" s="123" t="s">
        <v>187</v>
      </c>
      <c r="G105" s="123" t="s">
        <v>187</v>
      </c>
      <c r="H105" s="122" t="s">
        <v>187</v>
      </c>
      <c r="I105" s="122" t="s">
        <v>187</v>
      </c>
      <c r="J105" s="817"/>
      <c r="K105" s="817"/>
      <c r="L105" s="817"/>
      <c r="M105" s="817"/>
      <c r="N105" s="817"/>
      <c r="O105" s="826"/>
      <c r="P105" s="830"/>
    </row>
    <row r="106" spans="1:23" ht="42.75" customHeight="1">
      <c r="A106" s="822"/>
      <c r="B106" s="48" t="s">
        <v>187</v>
      </c>
      <c r="C106" s="48" t="s">
        <v>187</v>
      </c>
      <c r="D106" s="48" t="s">
        <v>187</v>
      </c>
      <c r="E106" s="48" t="s">
        <v>187</v>
      </c>
      <c r="F106" s="48" t="s">
        <v>187</v>
      </c>
      <c r="G106" s="48" t="s">
        <v>187</v>
      </c>
      <c r="H106" s="48" t="s">
        <v>187</v>
      </c>
      <c r="I106" s="48" t="s">
        <v>187</v>
      </c>
      <c r="J106" s="817"/>
      <c r="K106" s="817"/>
      <c r="L106" s="817"/>
      <c r="M106" s="817"/>
      <c r="N106" s="817"/>
      <c r="O106" s="824"/>
      <c r="P106" s="824"/>
    </row>
    <row r="107" spans="1:23" ht="42.75" customHeight="1">
      <c r="A107" s="821"/>
      <c r="B107" s="48" t="s">
        <v>187</v>
      </c>
      <c r="C107" s="48" t="s">
        <v>187</v>
      </c>
      <c r="D107" s="48" t="s">
        <v>187</v>
      </c>
      <c r="E107" s="48" t="s">
        <v>187</v>
      </c>
      <c r="F107" s="48" t="s">
        <v>187</v>
      </c>
      <c r="G107" s="48" t="s">
        <v>187</v>
      </c>
      <c r="H107" s="48" t="s">
        <v>187</v>
      </c>
      <c r="I107" s="48" t="s">
        <v>187</v>
      </c>
      <c r="J107" s="817"/>
      <c r="K107" s="817"/>
      <c r="L107" s="817"/>
      <c r="M107" s="817"/>
      <c r="N107" s="817"/>
      <c r="O107" s="826"/>
      <c r="P107" s="830"/>
    </row>
    <row r="108" spans="1:23" ht="42.75" customHeight="1">
      <c r="A108" s="823"/>
      <c r="B108" s="48" t="s">
        <v>187</v>
      </c>
      <c r="C108" s="48" t="s">
        <v>187</v>
      </c>
      <c r="D108" s="48" t="s">
        <v>187</v>
      </c>
      <c r="E108" s="48" t="s">
        <v>187</v>
      </c>
      <c r="F108" s="48" t="s">
        <v>187</v>
      </c>
      <c r="G108" s="48" t="s">
        <v>187</v>
      </c>
      <c r="H108" s="48" t="s">
        <v>187</v>
      </c>
      <c r="I108" s="48" t="s">
        <v>187</v>
      </c>
      <c r="J108" s="817"/>
      <c r="K108" s="817"/>
      <c r="L108" s="817"/>
      <c r="M108" s="817" t="s">
        <v>173</v>
      </c>
      <c r="N108" s="817"/>
      <c r="O108" s="828"/>
      <c r="P108" s="829"/>
    </row>
    <row r="109" spans="1:23" ht="42.75" customHeight="1">
      <c r="A109" s="821" t="s">
        <v>414</v>
      </c>
      <c r="B109" s="48" t="str">
        <f>'입력2(측정)'!B108</f>
        <v>5층 1-9반</v>
      </c>
      <c r="C109" s="48" t="str">
        <f>'입력2(측정)'!C108</f>
        <v>13:03 ~ 13:13</v>
      </c>
      <c r="D109" s="95">
        <f>'입력2(측정)'!D108</f>
        <v>2</v>
      </c>
      <c r="E109" s="72">
        <f>'입력2(측정)'!R108</f>
        <v>47.2</v>
      </c>
      <c r="F109" s="72">
        <f>'입력2(측정)'!S108</f>
        <v>48</v>
      </c>
      <c r="G109" s="72">
        <f>'입력2(측정)'!T108</f>
        <v>47.6</v>
      </c>
      <c r="H109" s="48" t="s">
        <v>467</v>
      </c>
      <c r="I109" s="48" t="str">
        <f>IF(G109&gt;55,"부적합","적합")</f>
        <v>적합</v>
      </c>
      <c r="J109" s="821" t="s">
        <v>58</v>
      </c>
      <c r="K109" s="821" t="s">
        <v>418</v>
      </c>
      <c r="L109" s="821" t="s">
        <v>405</v>
      </c>
      <c r="M109" s="821" t="s">
        <v>138</v>
      </c>
      <c r="N109" s="821" t="s">
        <v>67</v>
      </c>
      <c r="O109" s="824" t="s">
        <v>208</v>
      </c>
      <c r="P109" s="825"/>
    </row>
    <row r="110" spans="1:23" ht="42.75" customHeight="1">
      <c r="A110" s="822"/>
      <c r="B110" s="48" t="str">
        <f>'입력2(측정)'!B109</f>
        <v>4층 1-7반</v>
      </c>
      <c r="C110" s="48" t="str">
        <f>'입력2(측정)'!C109</f>
        <v>13:15 ~ 13:25</v>
      </c>
      <c r="D110" s="95">
        <f>'입력2(측정)'!D109</f>
        <v>2</v>
      </c>
      <c r="E110" s="72">
        <f>'입력2(측정)'!R109</f>
        <v>48.7</v>
      </c>
      <c r="F110" s="72">
        <f>'입력2(측정)'!S109</f>
        <v>49.2</v>
      </c>
      <c r="G110" s="72">
        <f>'입력2(측정)'!T109</f>
        <v>48.95</v>
      </c>
      <c r="H110" s="48" t="s">
        <v>467</v>
      </c>
      <c r="I110" s="48" t="str">
        <f>IF(G110&gt;55,"부적합","적합")</f>
        <v>적합</v>
      </c>
      <c r="J110" s="822"/>
      <c r="K110" s="822"/>
      <c r="L110" s="822"/>
      <c r="M110" s="822"/>
      <c r="N110" s="822"/>
      <c r="O110" s="826"/>
      <c r="P110" s="827"/>
      <c r="R110" s="800" t="s">
        <v>79</v>
      </c>
      <c r="S110" s="800" t="s">
        <v>86</v>
      </c>
      <c r="T110" s="800" t="s">
        <v>462</v>
      </c>
      <c r="U110" s="800" t="s">
        <v>332</v>
      </c>
      <c r="V110" s="800" t="s">
        <v>496</v>
      </c>
      <c r="W110" s="800" t="s">
        <v>252</v>
      </c>
    </row>
    <row r="111" spans="1:23" ht="42.75" customHeight="1">
      <c r="A111" s="822"/>
      <c r="B111" s="48" t="str">
        <f>'입력2(측정)'!B110</f>
        <v>2층 (도제)세무실무실습실</v>
      </c>
      <c r="C111" s="48" t="str">
        <f>'입력2(측정)'!C110</f>
        <v>13:26 ~ 13:36</v>
      </c>
      <c r="D111" s="95">
        <f>'입력2(측정)'!D110</f>
        <v>2</v>
      </c>
      <c r="E111" s="72">
        <f>'입력2(측정)'!R110</f>
        <v>50.1</v>
      </c>
      <c r="F111" s="72">
        <f>'입력2(측정)'!S110</f>
        <v>50.9</v>
      </c>
      <c r="G111" s="72">
        <f>'입력2(측정)'!T110</f>
        <v>50.5</v>
      </c>
      <c r="H111" s="48" t="s">
        <v>467</v>
      </c>
      <c r="I111" s="48" t="str">
        <f>IF(G111&gt;55,"부적합","적합")</f>
        <v>적합</v>
      </c>
      <c r="J111" s="822"/>
      <c r="K111" s="822"/>
      <c r="L111" s="822"/>
      <c r="M111" s="822"/>
      <c r="N111" s="822"/>
      <c r="O111" s="826"/>
      <c r="P111" s="827"/>
      <c r="R111" s="801"/>
      <c r="S111" s="801"/>
      <c r="T111" s="801"/>
      <c r="U111" s="801"/>
      <c r="V111" s="801"/>
      <c r="W111" s="801"/>
    </row>
    <row r="112" spans="1:23" ht="42.75" customHeight="1">
      <c r="A112" s="823"/>
      <c r="B112" s="127" t="s">
        <v>187</v>
      </c>
      <c r="C112" s="127" t="s">
        <v>187</v>
      </c>
      <c r="D112" s="327" t="s">
        <v>187</v>
      </c>
      <c r="E112" s="123" t="s">
        <v>187</v>
      </c>
      <c r="F112" s="123" t="s">
        <v>187</v>
      </c>
      <c r="G112" s="123" t="s">
        <v>187</v>
      </c>
      <c r="H112" s="122" t="s">
        <v>187</v>
      </c>
      <c r="I112" s="122" t="s">
        <v>187</v>
      </c>
      <c r="J112" s="823"/>
      <c r="K112" s="823"/>
      <c r="L112" s="823"/>
      <c r="M112" s="823"/>
      <c r="N112" s="823"/>
      <c r="O112" s="828"/>
      <c r="P112" s="829"/>
      <c r="R112" s="800"/>
      <c r="S112" s="800"/>
      <c r="T112" s="800"/>
      <c r="U112" s="800"/>
      <c r="V112" s="800"/>
      <c r="W112" s="800"/>
    </row>
    <row r="113" spans="1:23" ht="42.75" customHeight="1">
      <c r="A113" s="817" t="s">
        <v>227</v>
      </c>
      <c r="B113" s="127" t="str">
        <f>'입력2(측정)'!A135</f>
        <v>5층 2-11반</v>
      </c>
      <c r="C113" s="127" t="str">
        <f>'입력2(측정)'!C33</f>
        <v>14:02 ~ 14:12</v>
      </c>
      <c r="D113" s="95" t="s">
        <v>187</v>
      </c>
      <c r="E113" s="72" t="s">
        <v>187</v>
      </c>
      <c r="F113" s="72" t="s">
        <v>187</v>
      </c>
      <c r="G113" s="72">
        <f>'입력2(측정)'!B135</f>
        <v>57.04407951598963</v>
      </c>
      <c r="H113" s="48" t="s">
        <v>80</v>
      </c>
      <c r="I113" s="48" t="str">
        <f t="shared" ref="I113:I119" si="8">IF(G113&gt;=21.6,"적합","부적합")</f>
        <v>적합</v>
      </c>
      <c r="J113" s="817" t="s">
        <v>79</v>
      </c>
      <c r="K113" s="817" t="s">
        <v>86</v>
      </c>
      <c r="L113" s="817" t="s">
        <v>462</v>
      </c>
      <c r="M113" s="817" t="s">
        <v>332</v>
      </c>
      <c r="N113" s="817" t="s">
        <v>40</v>
      </c>
      <c r="O113" s="817"/>
      <c r="P113" s="817"/>
      <c r="R113" s="801"/>
      <c r="S113" s="801"/>
      <c r="T113" s="801"/>
      <c r="U113" s="801"/>
      <c r="V113" s="801"/>
      <c r="W113" s="801"/>
    </row>
    <row r="114" spans="1:23" ht="42.75" customHeight="1">
      <c r="A114" s="817"/>
      <c r="B114" s="127" t="str">
        <f>'입력2(측정)'!A136</f>
        <v>4층 2-4반</v>
      </c>
      <c r="C114" s="127" t="str">
        <f>'입력2(측정)'!C34</f>
        <v>14:13 ~ 14:23</v>
      </c>
      <c r="D114" s="95" t="s">
        <v>187</v>
      </c>
      <c r="E114" s="72" t="s">
        <v>187</v>
      </c>
      <c r="F114" s="72" t="s">
        <v>187</v>
      </c>
      <c r="G114" s="72">
        <f>'입력2(측정)'!B136</f>
        <v>57.996485061511407</v>
      </c>
      <c r="H114" s="48" t="s">
        <v>80</v>
      </c>
      <c r="I114" s="48" t="str">
        <f t="shared" si="8"/>
        <v>적합</v>
      </c>
      <c r="J114" s="817"/>
      <c r="K114" s="817"/>
      <c r="L114" s="817"/>
      <c r="M114" s="817"/>
      <c r="N114" s="817"/>
      <c r="O114" s="817"/>
      <c r="P114" s="817"/>
      <c r="R114" s="801"/>
      <c r="S114" s="801"/>
      <c r="T114" s="801"/>
      <c r="U114" s="801"/>
      <c r="V114" s="801"/>
      <c r="W114" s="801"/>
    </row>
    <row r="115" spans="1:23" ht="42.75" customHeight="1">
      <c r="A115" s="817"/>
      <c r="B115" s="107" t="str">
        <f>'입력2(측정)'!A137</f>
        <v>1층 (도제)회계실무실습실</v>
      </c>
      <c r="C115" s="127" t="str">
        <f>'입력2(측정)'!C35</f>
        <v>15:00 ~ 15:10</v>
      </c>
      <c r="D115" s="95" t="s">
        <v>187</v>
      </c>
      <c r="E115" s="72" t="s">
        <v>187</v>
      </c>
      <c r="F115" s="72" t="s">
        <v>187</v>
      </c>
      <c r="G115" s="72">
        <f>'입력2(측정)'!B137</f>
        <v>70.739549839228303</v>
      </c>
      <c r="H115" s="48" t="s">
        <v>80</v>
      </c>
      <c r="I115" s="48" t="str">
        <f t="shared" si="8"/>
        <v>적합</v>
      </c>
      <c r="J115" s="817"/>
      <c r="K115" s="817"/>
      <c r="L115" s="817"/>
      <c r="M115" s="817"/>
      <c r="N115" s="817"/>
      <c r="O115" s="817"/>
      <c r="P115" s="817"/>
      <c r="R115" s="801"/>
      <c r="S115" s="801"/>
      <c r="T115" s="801"/>
      <c r="U115" s="801"/>
      <c r="V115" s="801"/>
      <c r="W115" s="801"/>
    </row>
    <row r="116" spans="1:23" ht="42.75" customHeight="1">
      <c r="A116" s="817"/>
      <c r="B116" s="127" t="s">
        <v>187</v>
      </c>
      <c r="C116" s="127" t="s">
        <v>187</v>
      </c>
      <c r="D116" s="327" t="s">
        <v>187</v>
      </c>
      <c r="E116" s="123" t="s">
        <v>187</v>
      </c>
      <c r="F116" s="123" t="s">
        <v>187</v>
      </c>
      <c r="G116" s="123" t="s">
        <v>187</v>
      </c>
      <c r="H116" s="122" t="s">
        <v>187</v>
      </c>
      <c r="I116" s="122" t="s">
        <v>187</v>
      </c>
      <c r="J116" s="817"/>
      <c r="K116" s="817"/>
      <c r="L116" s="817"/>
      <c r="M116" s="817"/>
      <c r="N116" s="817"/>
      <c r="O116" s="817"/>
      <c r="P116" s="817"/>
      <c r="R116" s="801"/>
      <c r="S116" s="801"/>
      <c r="T116" s="801"/>
      <c r="U116" s="801"/>
      <c r="V116" s="801"/>
      <c r="W116" s="801"/>
    </row>
    <row r="117" spans="1:23" ht="42.75" hidden="1" customHeight="1">
      <c r="A117" s="817"/>
      <c r="B117" s="107" t="str">
        <f>'입력2(측정)'!B35</f>
        <v>1층 (도제)회계실무실습실</v>
      </c>
      <c r="C117" s="107" t="str">
        <f>'입력2(측정)'!C35</f>
        <v>15:00 ~ 15:10</v>
      </c>
      <c r="D117" s="95" t="s">
        <v>187</v>
      </c>
      <c r="E117" s="72" t="s">
        <v>187</v>
      </c>
      <c r="F117" s="72" t="s">
        <v>187</v>
      </c>
      <c r="G117" s="72" t="e">
        <f>'입력2(측정)'!#REF!</f>
        <v>#REF!</v>
      </c>
      <c r="H117" s="48" t="s">
        <v>80</v>
      </c>
      <c r="I117" s="48" t="e">
        <f t="shared" si="8"/>
        <v>#REF!</v>
      </c>
      <c r="J117" s="817"/>
      <c r="K117" s="817"/>
      <c r="L117" s="817"/>
      <c r="M117" s="817"/>
      <c r="N117" s="817"/>
      <c r="O117" s="817"/>
      <c r="P117" s="817"/>
      <c r="R117" s="802"/>
      <c r="S117" s="802"/>
      <c r="T117" s="802"/>
      <c r="U117" s="802"/>
      <c r="V117" s="802"/>
      <c r="W117" s="802"/>
    </row>
    <row r="118" spans="1:23" ht="42.75" hidden="1" customHeight="1">
      <c r="A118" s="817"/>
      <c r="B118" s="107">
        <f>'입력2(측정)'!B36</f>
        <v>0</v>
      </c>
      <c r="C118" s="107">
        <f>'입력2(측정)'!C36</f>
        <v>0</v>
      </c>
      <c r="D118" s="95" t="s">
        <v>187</v>
      </c>
      <c r="E118" s="72" t="s">
        <v>187</v>
      </c>
      <c r="F118" s="72" t="s">
        <v>187</v>
      </c>
      <c r="G118" s="72">
        <f>'입력2(측정)'!B139</f>
        <v>0</v>
      </c>
      <c r="H118" s="48" t="s">
        <v>80</v>
      </c>
      <c r="I118" s="48" t="str">
        <f t="shared" si="8"/>
        <v>부적합</v>
      </c>
      <c r="J118" s="817"/>
      <c r="K118" s="817"/>
      <c r="L118" s="817"/>
      <c r="M118" s="817"/>
      <c r="N118" s="817"/>
      <c r="O118" s="817"/>
      <c r="P118" s="817"/>
    </row>
    <row r="119" spans="1:23" ht="40.5" hidden="1" customHeight="1">
      <c r="A119" s="817"/>
      <c r="B119" s="107" t="str">
        <f>'입력2(측정)'!B37</f>
        <v>급식시설</v>
      </c>
      <c r="C119" s="107" t="str">
        <f>'입력2(측정)'!C37</f>
        <v>14:46 ~ 14:56</v>
      </c>
      <c r="D119" s="95" t="s">
        <v>187</v>
      </c>
      <c r="E119" s="72" t="s">
        <v>187</v>
      </c>
      <c r="F119" s="72" t="s">
        <v>187</v>
      </c>
      <c r="G119" s="72">
        <f>'입력2(측정)'!B140</f>
        <v>0</v>
      </c>
      <c r="H119" s="48" t="s">
        <v>80</v>
      </c>
      <c r="I119" s="48" t="str">
        <f t="shared" si="8"/>
        <v>부적합</v>
      </c>
      <c r="J119" s="817"/>
      <c r="K119" s="817"/>
      <c r="L119" s="817"/>
      <c r="M119" s="817"/>
      <c r="N119" s="817"/>
      <c r="O119" s="817"/>
      <c r="P119" s="817"/>
    </row>
    <row r="120" spans="1:23" ht="40.5" customHeight="1">
      <c r="A120" s="74"/>
      <c r="B120" s="143"/>
      <c r="C120" s="143"/>
      <c r="D120" s="330"/>
      <c r="E120" s="108"/>
      <c r="F120" s="108"/>
      <c r="G120" s="108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23" ht="36" customHeight="1">
      <c r="A121" s="831" t="s">
        <v>3</v>
      </c>
      <c r="B121" s="831"/>
      <c r="C121" s="831"/>
      <c r="D121" s="831"/>
      <c r="E121" s="831"/>
      <c r="F121" s="831"/>
      <c r="G121" s="831"/>
      <c r="H121" s="831"/>
      <c r="I121" s="831"/>
      <c r="J121" s="831"/>
      <c r="K121" s="831"/>
      <c r="L121" s="831"/>
      <c r="M121" s="831"/>
      <c r="N121" s="831"/>
      <c r="O121" s="831"/>
      <c r="P121" s="831"/>
    </row>
    <row r="122" spans="1:23" ht="39" customHeight="1">
      <c r="A122" s="832" t="s">
        <v>108</v>
      </c>
      <c r="B122" s="833"/>
      <c r="C122" s="833" t="s">
        <v>143</v>
      </c>
      <c r="D122" s="833"/>
      <c r="E122" s="833"/>
      <c r="F122" s="833"/>
      <c r="G122" s="833"/>
      <c r="H122" s="833"/>
      <c r="I122" s="833"/>
      <c r="J122" s="833"/>
      <c r="K122" s="833"/>
      <c r="L122" s="833"/>
      <c r="M122" s="833"/>
      <c r="N122" s="833"/>
      <c r="O122" s="82" t="s">
        <v>83</v>
      </c>
      <c r="P122" s="75" t="s">
        <v>115</v>
      </c>
    </row>
    <row r="123" spans="1:23" ht="39" customHeight="1">
      <c r="A123" s="834" t="s">
        <v>289</v>
      </c>
      <c r="B123" s="835"/>
      <c r="C123" s="836" t="s">
        <v>495</v>
      </c>
      <c r="D123" s="836"/>
      <c r="E123" s="836"/>
      <c r="F123" s="836"/>
      <c r="G123" s="836"/>
      <c r="H123" s="836"/>
      <c r="I123" s="836"/>
      <c r="J123" s="836"/>
      <c r="K123" s="836"/>
      <c r="L123" s="836"/>
      <c r="M123" s="836"/>
      <c r="N123" s="836"/>
      <c r="O123" s="78"/>
      <c r="P123" s="76"/>
    </row>
    <row r="124" spans="1:23" ht="39" customHeight="1">
      <c r="A124" s="834"/>
      <c r="B124" s="835"/>
      <c r="C124" s="836" t="s">
        <v>499</v>
      </c>
      <c r="D124" s="836"/>
      <c r="E124" s="836"/>
      <c r="F124" s="836"/>
      <c r="G124" s="836"/>
      <c r="H124" s="836"/>
      <c r="I124" s="836"/>
      <c r="J124" s="836"/>
      <c r="K124" s="836"/>
      <c r="L124" s="836"/>
      <c r="M124" s="836"/>
      <c r="N124" s="836"/>
      <c r="O124" s="78"/>
      <c r="P124" s="76"/>
    </row>
    <row r="125" spans="1:23" ht="39" customHeight="1">
      <c r="A125" s="834"/>
      <c r="B125" s="835"/>
      <c r="C125" s="836" t="s">
        <v>315</v>
      </c>
      <c r="D125" s="836"/>
      <c r="E125" s="836"/>
      <c r="F125" s="836"/>
      <c r="G125" s="836"/>
      <c r="H125" s="836"/>
      <c r="I125" s="836"/>
      <c r="J125" s="836"/>
      <c r="K125" s="836"/>
      <c r="L125" s="836"/>
      <c r="M125" s="836"/>
      <c r="N125" s="836"/>
      <c r="O125" s="78"/>
      <c r="P125" s="76"/>
    </row>
    <row r="126" spans="1:23" ht="39" customHeight="1">
      <c r="A126" s="834"/>
      <c r="B126" s="835"/>
      <c r="C126" s="836" t="s">
        <v>318</v>
      </c>
      <c r="D126" s="836"/>
      <c r="E126" s="836"/>
      <c r="F126" s="836"/>
      <c r="G126" s="836"/>
      <c r="H126" s="836"/>
      <c r="I126" s="836"/>
      <c r="J126" s="836"/>
      <c r="K126" s="836"/>
      <c r="L126" s="836"/>
      <c r="M126" s="836"/>
      <c r="N126" s="836"/>
      <c r="O126" s="78"/>
      <c r="P126" s="76"/>
    </row>
    <row r="127" spans="1:23" ht="39" customHeight="1">
      <c r="A127" s="834" t="s">
        <v>57</v>
      </c>
      <c r="B127" s="835"/>
      <c r="C127" s="836" t="s">
        <v>319</v>
      </c>
      <c r="D127" s="836"/>
      <c r="E127" s="836"/>
      <c r="F127" s="836"/>
      <c r="G127" s="836"/>
      <c r="H127" s="836"/>
      <c r="I127" s="836"/>
      <c r="J127" s="836"/>
      <c r="K127" s="836"/>
      <c r="L127" s="836"/>
      <c r="M127" s="836"/>
      <c r="N127" s="836"/>
      <c r="O127" s="78"/>
      <c r="P127" s="76"/>
    </row>
    <row r="128" spans="1:23" ht="39" customHeight="1">
      <c r="A128" s="834"/>
      <c r="B128" s="835"/>
      <c r="C128" s="836" t="s">
        <v>5</v>
      </c>
      <c r="D128" s="836"/>
      <c r="E128" s="836"/>
      <c r="F128" s="836"/>
      <c r="G128" s="836"/>
      <c r="H128" s="836"/>
      <c r="I128" s="836"/>
      <c r="J128" s="836"/>
      <c r="K128" s="836"/>
      <c r="L128" s="836"/>
      <c r="M128" s="836"/>
      <c r="N128" s="836"/>
      <c r="O128" s="78"/>
      <c r="P128" s="76"/>
    </row>
    <row r="129" spans="1:16" ht="39" customHeight="1">
      <c r="A129" s="834"/>
      <c r="B129" s="837"/>
      <c r="C129" s="838" t="s">
        <v>1</v>
      </c>
      <c r="D129" s="839"/>
      <c r="E129" s="839"/>
      <c r="F129" s="839"/>
      <c r="G129" s="839"/>
      <c r="H129" s="839"/>
      <c r="I129" s="839"/>
      <c r="J129" s="839"/>
      <c r="K129" s="839"/>
      <c r="L129" s="839"/>
      <c r="M129" s="839"/>
      <c r="N129" s="840"/>
      <c r="O129" s="79"/>
      <c r="P129" s="841"/>
    </row>
    <row r="130" spans="1:16" ht="39" customHeight="1">
      <c r="A130" s="834"/>
      <c r="B130" s="837"/>
      <c r="C130" s="843" t="s">
        <v>365</v>
      </c>
      <c r="D130" s="843"/>
      <c r="E130" s="843"/>
      <c r="F130" s="843"/>
      <c r="G130" s="843"/>
      <c r="H130" s="843"/>
      <c r="I130" s="843"/>
      <c r="J130" s="843"/>
      <c r="K130" s="843"/>
      <c r="L130" s="843"/>
      <c r="M130" s="843"/>
      <c r="N130" s="843"/>
      <c r="O130" s="80"/>
      <c r="P130" s="842"/>
    </row>
    <row r="131" spans="1:16" ht="39" customHeight="1">
      <c r="A131" s="834" t="s">
        <v>240</v>
      </c>
      <c r="B131" s="835"/>
      <c r="C131" s="836" t="s">
        <v>301</v>
      </c>
      <c r="D131" s="836"/>
      <c r="E131" s="836"/>
      <c r="F131" s="836"/>
      <c r="G131" s="836"/>
      <c r="H131" s="836"/>
      <c r="I131" s="836"/>
      <c r="J131" s="836"/>
      <c r="K131" s="836"/>
      <c r="L131" s="836"/>
      <c r="M131" s="836"/>
      <c r="N131" s="836"/>
      <c r="O131" s="78"/>
      <c r="P131" s="76"/>
    </row>
    <row r="132" spans="1:16" ht="39" customHeight="1">
      <c r="A132" s="844" t="s">
        <v>361</v>
      </c>
      <c r="B132" s="835"/>
      <c r="C132" s="836" t="s">
        <v>303</v>
      </c>
      <c r="D132" s="836"/>
      <c r="E132" s="836"/>
      <c r="F132" s="836"/>
      <c r="G132" s="836"/>
      <c r="H132" s="836"/>
      <c r="I132" s="836"/>
      <c r="J132" s="836"/>
      <c r="K132" s="836"/>
      <c r="L132" s="836"/>
      <c r="M132" s="836"/>
      <c r="N132" s="836"/>
      <c r="O132" s="78"/>
      <c r="P132" s="76"/>
    </row>
    <row r="133" spans="1:16" ht="39" customHeight="1">
      <c r="A133" s="834"/>
      <c r="B133" s="835"/>
      <c r="C133" s="836" t="s">
        <v>314</v>
      </c>
      <c r="D133" s="836"/>
      <c r="E133" s="836"/>
      <c r="F133" s="836"/>
      <c r="G133" s="836"/>
      <c r="H133" s="836"/>
      <c r="I133" s="836"/>
      <c r="J133" s="836"/>
      <c r="K133" s="836"/>
      <c r="L133" s="836"/>
      <c r="M133" s="836"/>
      <c r="N133" s="836"/>
      <c r="O133" s="78"/>
      <c r="P133" s="76"/>
    </row>
    <row r="134" spans="1:16" ht="39" customHeight="1">
      <c r="A134" s="834"/>
      <c r="B134" s="835"/>
      <c r="C134" s="836" t="s">
        <v>498</v>
      </c>
      <c r="D134" s="836"/>
      <c r="E134" s="836"/>
      <c r="F134" s="836"/>
      <c r="G134" s="836"/>
      <c r="H134" s="836"/>
      <c r="I134" s="836"/>
      <c r="J134" s="836"/>
      <c r="K134" s="836"/>
      <c r="L134" s="836"/>
      <c r="M134" s="836"/>
      <c r="N134" s="836"/>
      <c r="O134" s="78"/>
      <c r="P134" s="76"/>
    </row>
    <row r="135" spans="1:16" ht="39" customHeight="1">
      <c r="A135" s="834"/>
      <c r="B135" s="835"/>
      <c r="C135" s="836" t="s">
        <v>493</v>
      </c>
      <c r="D135" s="836"/>
      <c r="E135" s="836"/>
      <c r="F135" s="836"/>
      <c r="G135" s="836"/>
      <c r="H135" s="836"/>
      <c r="I135" s="836"/>
      <c r="J135" s="836"/>
      <c r="K135" s="836"/>
      <c r="L135" s="836"/>
      <c r="M135" s="836"/>
      <c r="N135" s="836"/>
      <c r="O135" s="78"/>
      <c r="P135" s="76"/>
    </row>
    <row r="136" spans="1:16" ht="39" customHeight="1">
      <c r="A136" s="834" t="s">
        <v>161</v>
      </c>
      <c r="B136" s="835"/>
      <c r="C136" s="836" t="s">
        <v>500</v>
      </c>
      <c r="D136" s="836"/>
      <c r="E136" s="836"/>
      <c r="F136" s="836"/>
      <c r="G136" s="836"/>
      <c r="H136" s="836"/>
      <c r="I136" s="836"/>
      <c r="J136" s="836"/>
      <c r="K136" s="836"/>
      <c r="L136" s="836"/>
      <c r="M136" s="836"/>
      <c r="N136" s="836"/>
      <c r="O136" s="78"/>
      <c r="P136" s="76"/>
    </row>
    <row r="137" spans="1:16" ht="39" customHeight="1">
      <c r="A137" s="834"/>
      <c r="B137" s="835"/>
      <c r="C137" s="836" t="s">
        <v>307</v>
      </c>
      <c r="D137" s="836"/>
      <c r="E137" s="836"/>
      <c r="F137" s="836"/>
      <c r="G137" s="836"/>
      <c r="H137" s="836"/>
      <c r="I137" s="836"/>
      <c r="J137" s="836"/>
      <c r="K137" s="836"/>
      <c r="L137" s="836"/>
      <c r="M137" s="836"/>
      <c r="N137" s="836"/>
      <c r="O137" s="78"/>
      <c r="P137" s="76"/>
    </row>
    <row r="138" spans="1:16" ht="39" customHeight="1">
      <c r="A138" s="834"/>
      <c r="B138" s="835"/>
      <c r="C138" s="836" t="s">
        <v>484</v>
      </c>
      <c r="D138" s="836"/>
      <c r="E138" s="836"/>
      <c r="F138" s="836"/>
      <c r="G138" s="836"/>
      <c r="H138" s="836"/>
      <c r="I138" s="836"/>
      <c r="J138" s="836"/>
      <c r="K138" s="836"/>
      <c r="L138" s="836"/>
      <c r="M138" s="836"/>
      <c r="N138" s="836"/>
      <c r="O138" s="78"/>
      <c r="P138" s="76"/>
    </row>
    <row r="139" spans="1:16" ht="39" customHeight="1">
      <c r="A139" s="834"/>
      <c r="B139" s="835"/>
      <c r="C139" s="836" t="s">
        <v>306</v>
      </c>
      <c r="D139" s="836"/>
      <c r="E139" s="836"/>
      <c r="F139" s="836"/>
      <c r="G139" s="836"/>
      <c r="H139" s="836"/>
      <c r="I139" s="836"/>
      <c r="J139" s="836"/>
      <c r="K139" s="836"/>
      <c r="L139" s="836"/>
      <c r="M139" s="836"/>
      <c r="N139" s="836"/>
      <c r="O139" s="78"/>
      <c r="P139" s="76"/>
    </row>
    <row r="140" spans="1:16" ht="39" customHeight="1">
      <c r="A140" s="844" t="s">
        <v>459</v>
      </c>
      <c r="B140" s="817"/>
      <c r="C140" s="836" t="s">
        <v>300</v>
      </c>
      <c r="D140" s="836"/>
      <c r="E140" s="836"/>
      <c r="F140" s="836"/>
      <c r="G140" s="836"/>
      <c r="H140" s="836"/>
      <c r="I140" s="836"/>
      <c r="J140" s="836"/>
      <c r="K140" s="836"/>
      <c r="L140" s="836"/>
      <c r="M140" s="836"/>
      <c r="N140" s="836"/>
      <c r="O140" s="78"/>
      <c r="P140" s="76"/>
    </row>
    <row r="141" spans="1:16" ht="39" customHeight="1">
      <c r="A141" s="844"/>
      <c r="B141" s="817"/>
      <c r="C141" s="836" t="s">
        <v>488</v>
      </c>
      <c r="D141" s="836"/>
      <c r="E141" s="836"/>
      <c r="F141" s="836"/>
      <c r="G141" s="836"/>
      <c r="H141" s="836"/>
      <c r="I141" s="836"/>
      <c r="J141" s="836"/>
      <c r="K141" s="836"/>
      <c r="L141" s="836"/>
      <c r="M141" s="836"/>
      <c r="N141" s="836"/>
      <c r="O141" s="78"/>
      <c r="P141" s="76"/>
    </row>
    <row r="142" spans="1:16" ht="39" customHeight="1">
      <c r="A142" s="844"/>
      <c r="B142" s="817"/>
      <c r="C142" s="836" t="s">
        <v>492</v>
      </c>
      <c r="D142" s="836"/>
      <c r="E142" s="836"/>
      <c r="F142" s="836"/>
      <c r="G142" s="836"/>
      <c r="H142" s="836"/>
      <c r="I142" s="836"/>
      <c r="J142" s="836"/>
      <c r="K142" s="836"/>
      <c r="L142" s="836"/>
      <c r="M142" s="836"/>
      <c r="N142" s="836"/>
      <c r="O142" s="78"/>
      <c r="P142" s="76"/>
    </row>
    <row r="143" spans="1:16" ht="39" customHeight="1">
      <c r="A143" s="844"/>
      <c r="B143" s="817"/>
      <c r="C143" s="836" t="s">
        <v>316</v>
      </c>
      <c r="D143" s="836"/>
      <c r="E143" s="836"/>
      <c r="F143" s="836"/>
      <c r="G143" s="836"/>
      <c r="H143" s="836"/>
      <c r="I143" s="836"/>
      <c r="J143" s="836"/>
      <c r="K143" s="836"/>
      <c r="L143" s="836"/>
      <c r="M143" s="836"/>
      <c r="N143" s="836"/>
      <c r="O143" s="78"/>
      <c r="P143" s="76"/>
    </row>
    <row r="144" spans="1:16" ht="39" customHeight="1">
      <c r="A144" s="844"/>
      <c r="B144" s="817"/>
      <c r="C144" s="836" t="s">
        <v>490</v>
      </c>
      <c r="D144" s="836"/>
      <c r="E144" s="836"/>
      <c r="F144" s="836"/>
      <c r="G144" s="836"/>
      <c r="H144" s="836"/>
      <c r="I144" s="836"/>
      <c r="J144" s="836"/>
      <c r="K144" s="836"/>
      <c r="L144" s="836"/>
      <c r="M144" s="836"/>
      <c r="N144" s="836"/>
      <c r="O144" s="78"/>
      <c r="P144" s="76"/>
    </row>
    <row r="145" spans="1:16" ht="39" customHeight="1">
      <c r="A145" s="845"/>
      <c r="B145" s="846"/>
      <c r="C145" s="847" t="s">
        <v>487</v>
      </c>
      <c r="D145" s="847"/>
      <c r="E145" s="847"/>
      <c r="F145" s="847"/>
      <c r="G145" s="847"/>
      <c r="H145" s="847"/>
      <c r="I145" s="847"/>
      <c r="J145" s="847"/>
      <c r="K145" s="847"/>
      <c r="L145" s="847"/>
      <c r="M145" s="847"/>
      <c r="N145" s="847"/>
      <c r="O145" s="81"/>
      <c r="P145" s="77"/>
    </row>
    <row r="146" spans="1:16" ht="31.5" customHeight="1">
      <c r="A146" s="74"/>
      <c r="B146" s="74"/>
      <c r="C146" s="84"/>
      <c r="D146" s="331"/>
      <c r="E146" s="83"/>
      <c r="F146" s="83"/>
      <c r="G146" s="83"/>
      <c r="H146" s="84"/>
      <c r="I146" s="84"/>
      <c r="J146" s="83"/>
      <c r="K146" s="83"/>
      <c r="L146" s="83"/>
      <c r="M146" s="119"/>
      <c r="N146" s="119"/>
      <c r="O146" s="120"/>
      <c r="P146" s="121"/>
    </row>
    <row r="147" spans="1:16" ht="33" customHeight="1">
      <c r="A147" s="848" t="s">
        <v>0</v>
      </c>
      <c r="B147" s="848"/>
      <c r="C147" s="848"/>
      <c r="D147" s="848"/>
      <c r="E147" s="848"/>
      <c r="F147" s="848"/>
      <c r="G147" s="848"/>
      <c r="H147" s="848"/>
      <c r="I147" s="848"/>
      <c r="J147" s="848"/>
      <c r="K147" s="848"/>
      <c r="L147" s="848"/>
      <c r="M147" s="849"/>
      <c r="N147" s="849"/>
      <c r="O147" s="849"/>
      <c r="P147" s="849"/>
    </row>
    <row r="148" spans="1:16" ht="408.95" customHeight="1">
      <c r="A148" s="850" t="s">
        <v>326</v>
      </c>
      <c r="B148" s="850"/>
      <c r="C148" s="850"/>
      <c r="D148" s="850"/>
      <c r="E148" s="850"/>
      <c r="F148" s="850"/>
      <c r="G148" s="850"/>
      <c r="H148" s="850"/>
      <c r="I148" s="850"/>
      <c r="J148" s="850"/>
      <c r="K148" s="850"/>
      <c r="L148" s="850"/>
      <c r="M148" s="850"/>
      <c r="N148" s="850"/>
      <c r="O148" s="850"/>
      <c r="P148" s="850"/>
    </row>
    <row r="149" spans="1:16">
      <c r="A149" s="850"/>
      <c r="B149" s="850"/>
      <c r="C149" s="850"/>
      <c r="D149" s="850"/>
      <c r="E149" s="850"/>
      <c r="F149" s="850"/>
      <c r="G149" s="850"/>
      <c r="H149" s="850"/>
      <c r="I149" s="850"/>
      <c r="J149" s="850"/>
      <c r="K149" s="850"/>
      <c r="L149" s="850"/>
      <c r="M149" s="850"/>
      <c r="N149" s="850"/>
      <c r="O149" s="850"/>
      <c r="P149" s="850"/>
    </row>
    <row r="150" spans="1:16" ht="36" customHeight="1">
      <c r="A150" s="850"/>
      <c r="B150" s="850"/>
      <c r="C150" s="850"/>
      <c r="D150" s="850"/>
      <c r="E150" s="850"/>
      <c r="F150" s="850"/>
      <c r="G150" s="850"/>
      <c r="H150" s="850"/>
      <c r="I150" s="850"/>
      <c r="J150" s="850"/>
      <c r="K150" s="850"/>
      <c r="L150" s="850"/>
      <c r="M150" s="850"/>
      <c r="N150" s="850"/>
      <c r="O150" s="850"/>
      <c r="P150" s="850"/>
    </row>
    <row r="151" spans="1:16">
      <c r="B151" s="849"/>
      <c r="C151" s="849"/>
      <c r="D151" s="849"/>
      <c r="E151" s="849"/>
      <c r="F151" s="849"/>
      <c r="G151" s="849"/>
      <c r="H151" s="849"/>
      <c r="I151" s="849"/>
      <c r="J151" s="849"/>
      <c r="K151" s="849"/>
      <c r="L151" s="849"/>
      <c r="M151" s="849"/>
      <c r="N151" s="849"/>
      <c r="O151" s="849"/>
      <c r="P151" s="849"/>
    </row>
    <row r="152" spans="1:16">
      <c r="B152" s="849"/>
      <c r="C152" s="849"/>
      <c r="D152" s="849"/>
      <c r="E152" s="849"/>
      <c r="F152" s="849"/>
      <c r="G152" s="849"/>
      <c r="H152" s="849"/>
      <c r="I152" s="849"/>
      <c r="J152" s="849"/>
      <c r="K152" s="849"/>
      <c r="L152" s="849"/>
      <c r="M152" s="849"/>
      <c r="N152" s="849"/>
      <c r="O152" s="849"/>
      <c r="P152" s="849"/>
    </row>
    <row r="153" spans="1:16">
      <c r="B153" s="849"/>
      <c r="C153" s="849"/>
      <c r="D153" s="849"/>
      <c r="E153" s="849"/>
      <c r="F153" s="849"/>
      <c r="G153" s="849"/>
      <c r="H153" s="849"/>
      <c r="I153" s="849"/>
      <c r="J153" s="849"/>
      <c r="K153" s="849"/>
      <c r="L153" s="849"/>
      <c r="M153" s="849"/>
      <c r="N153" s="849"/>
      <c r="O153" s="849"/>
      <c r="P153" s="849"/>
    </row>
    <row r="154" spans="1:16">
      <c r="B154" s="849"/>
      <c r="C154" s="849"/>
      <c r="D154" s="849"/>
      <c r="E154" s="849"/>
      <c r="F154" s="849"/>
      <c r="G154" s="849"/>
      <c r="H154" s="849"/>
      <c r="I154" s="849"/>
      <c r="J154" s="849"/>
      <c r="K154" s="849"/>
      <c r="L154" s="849"/>
      <c r="M154" s="849"/>
      <c r="N154" s="849"/>
      <c r="O154" s="849"/>
      <c r="P154" s="849"/>
    </row>
    <row r="155" spans="1:16">
      <c r="B155" s="849"/>
      <c r="C155" s="849"/>
      <c r="D155" s="849"/>
      <c r="E155" s="849"/>
      <c r="F155" s="849"/>
      <c r="G155" s="849"/>
      <c r="H155" s="849"/>
      <c r="I155" s="849"/>
      <c r="J155" s="849"/>
      <c r="K155" s="849"/>
      <c r="L155" s="849"/>
      <c r="M155" s="849"/>
      <c r="N155" s="849"/>
      <c r="O155" s="849"/>
      <c r="P155" s="849"/>
    </row>
    <row r="156" spans="1:16">
      <c r="B156" s="849"/>
      <c r="C156" s="849"/>
      <c r="D156" s="849"/>
      <c r="E156" s="849"/>
      <c r="F156" s="849"/>
      <c r="G156" s="849"/>
      <c r="H156" s="849"/>
      <c r="I156" s="849"/>
      <c r="J156" s="849"/>
      <c r="K156" s="849"/>
      <c r="L156" s="849"/>
      <c r="M156" s="849"/>
      <c r="N156" s="849"/>
      <c r="O156" s="849"/>
      <c r="P156" s="849"/>
    </row>
    <row r="157" spans="1:16">
      <c r="B157" s="849"/>
      <c r="C157" s="849"/>
      <c r="D157" s="849"/>
      <c r="E157" s="849"/>
      <c r="F157" s="849"/>
      <c r="G157" s="849"/>
      <c r="H157" s="849"/>
      <c r="I157" s="849"/>
      <c r="J157" s="849"/>
      <c r="K157" s="849"/>
      <c r="L157" s="849"/>
      <c r="M157" s="849"/>
      <c r="N157" s="849"/>
      <c r="O157" s="849"/>
      <c r="P157" s="849"/>
    </row>
    <row r="158" spans="1:16">
      <c r="B158" s="849"/>
      <c r="C158" s="849"/>
      <c r="D158" s="849"/>
      <c r="E158" s="849"/>
      <c r="F158" s="849"/>
      <c r="G158" s="849"/>
      <c r="H158" s="849"/>
      <c r="I158" s="849"/>
      <c r="J158" s="849"/>
      <c r="K158" s="849"/>
      <c r="L158" s="849"/>
      <c r="M158" s="849"/>
      <c r="N158" s="849"/>
      <c r="O158" s="849"/>
      <c r="P158" s="849"/>
    </row>
    <row r="159" spans="1:16">
      <c r="B159" s="849"/>
      <c r="C159" s="849"/>
      <c r="D159" s="849"/>
      <c r="E159" s="849"/>
      <c r="F159" s="849"/>
      <c r="G159" s="849"/>
      <c r="H159" s="849"/>
      <c r="I159" s="849"/>
      <c r="J159" s="849"/>
      <c r="K159" s="849"/>
      <c r="L159" s="849"/>
      <c r="M159" s="849"/>
      <c r="N159" s="849"/>
      <c r="O159" s="849"/>
      <c r="P159" s="849"/>
    </row>
    <row r="160" spans="1:16">
      <c r="B160" s="849"/>
      <c r="C160" s="849"/>
      <c r="D160" s="849"/>
      <c r="E160" s="849"/>
      <c r="F160" s="849"/>
      <c r="G160" s="849"/>
      <c r="H160" s="849"/>
      <c r="I160" s="849"/>
      <c r="J160" s="849"/>
      <c r="K160" s="849"/>
      <c r="L160" s="849"/>
      <c r="M160" s="849"/>
      <c r="N160" s="849"/>
      <c r="O160" s="849"/>
      <c r="P160" s="849"/>
    </row>
    <row r="161" spans="2:16">
      <c r="B161" s="849"/>
      <c r="C161" s="849"/>
      <c r="D161" s="849"/>
      <c r="E161" s="849"/>
      <c r="F161" s="849"/>
      <c r="G161" s="849"/>
      <c r="H161" s="849"/>
      <c r="I161" s="849"/>
      <c r="J161" s="849"/>
      <c r="K161" s="849"/>
      <c r="L161" s="849"/>
      <c r="M161" s="849"/>
      <c r="N161" s="849"/>
      <c r="O161" s="849"/>
      <c r="P161" s="849"/>
    </row>
    <row r="162" spans="2:16">
      <c r="B162" s="849"/>
      <c r="C162" s="849"/>
      <c r="D162" s="849"/>
      <c r="E162" s="849"/>
      <c r="F162" s="849"/>
      <c r="G162" s="849"/>
      <c r="H162" s="849"/>
      <c r="I162" s="849"/>
      <c r="J162" s="849"/>
      <c r="K162" s="849"/>
      <c r="L162" s="849"/>
      <c r="M162" s="849"/>
      <c r="N162" s="849"/>
      <c r="O162" s="849"/>
      <c r="P162" s="849"/>
    </row>
    <row r="163" spans="2:16">
      <c r="B163" s="849"/>
      <c r="C163" s="849"/>
      <c r="D163" s="849"/>
      <c r="E163" s="849"/>
      <c r="F163" s="849"/>
      <c r="G163" s="849"/>
      <c r="H163" s="849"/>
      <c r="I163" s="849"/>
      <c r="J163" s="849"/>
      <c r="K163" s="849"/>
      <c r="L163" s="849"/>
      <c r="M163" s="849"/>
      <c r="N163" s="849"/>
      <c r="O163" s="849"/>
      <c r="P163" s="849"/>
    </row>
    <row r="164" spans="2:16">
      <c r="B164" s="849"/>
      <c r="C164" s="849"/>
      <c r="D164" s="849"/>
      <c r="E164" s="849"/>
      <c r="F164" s="849"/>
      <c r="G164" s="849"/>
      <c r="H164" s="849"/>
      <c r="I164" s="849"/>
      <c r="J164" s="849"/>
      <c r="K164" s="849"/>
      <c r="L164" s="849"/>
      <c r="M164" s="849"/>
      <c r="N164" s="849"/>
      <c r="O164" s="849"/>
      <c r="P164" s="849"/>
    </row>
    <row r="165" spans="2:16">
      <c r="B165" s="849"/>
      <c r="C165" s="849"/>
      <c r="D165" s="849"/>
      <c r="E165" s="849"/>
      <c r="F165" s="849"/>
      <c r="G165" s="849"/>
      <c r="H165" s="849"/>
      <c r="I165" s="849"/>
      <c r="J165" s="849"/>
      <c r="K165" s="849"/>
      <c r="L165" s="849"/>
      <c r="M165" s="849"/>
      <c r="N165" s="849"/>
      <c r="O165" s="849"/>
      <c r="P165" s="849"/>
    </row>
    <row r="166" spans="2:16">
      <c r="B166" s="849"/>
      <c r="C166" s="849"/>
      <c r="D166" s="849"/>
      <c r="E166" s="849"/>
      <c r="F166" s="849"/>
      <c r="G166" s="849"/>
      <c r="H166" s="849"/>
      <c r="I166" s="849"/>
      <c r="J166" s="849"/>
      <c r="K166" s="849"/>
      <c r="L166" s="849"/>
      <c r="M166" s="849"/>
      <c r="N166" s="849"/>
      <c r="O166" s="849"/>
      <c r="P166" s="849"/>
    </row>
    <row r="167" spans="2:16">
      <c r="B167" s="849"/>
      <c r="C167" s="849"/>
      <c r="D167" s="849"/>
      <c r="E167" s="849"/>
      <c r="F167" s="849"/>
      <c r="G167" s="849"/>
      <c r="H167" s="849"/>
      <c r="I167" s="849"/>
      <c r="J167" s="849"/>
      <c r="K167" s="849"/>
      <c r="L167" s="849"/>
      <c r="M167" s="849"/>
      <c r="N167" s="849"/>
      <c r="O167" s="849"/>
      <c r="P167" s="849"/>
    </row>
    <row r="168" spans="2:16">
      <c r="B168" s="849"/>
      <c r="C168" s="849"/>
      <c r="D168" s="849"/>
      <c r="E168" s="849"/>
      <c r="F168" s="849"/>
      <c r="G168" s="849"/>
      <c r="H168" s="849"/>
      <c r="I168" s="849"/>
      <c r="J168" s="849"/>
      <c r="K168" s="849"/>
      <c r="L168" s="849"/>
      <c r="M168" s="849"/>
      <c r="N168" s="849"/>
      <c r="O168" s="849"/>
      <c r="P168" s="849"/>
    </row>
    <row r="169" spans="2:16">
      <c r="B169" s="849"/>
      <c r="C169" s="849"/>
      <c r="D169" s="849"/>
      <c r="E169" s="849"/>
      <c r="F169" s="849"/>
      <c r="G169" s="849"/>
      <c r="H169" s="849"/>
      <c r="I169" s="849"/>
      <c r="J169" s="849"/>
      <c r="K169" s="849"/>
      <c r="L169" s="849"/>
      <c r="M169" s="849"/>
      <c r="N169" s="849"/>
      <c r="O169" s="849"/>
      <c r="P169" s="849"/>
    </row>
    <row r="170" spans="2:16">
      <c r="B170" s="849"/>
      <c r="C170" s="849"/>
      <c r="D170" s="849"/>
      <c r="E170" s="849"/>
      <c r="F170" s="849"/>
      <c r="G170" s="849"/>
      <c r="H170" s="849"/>
      <c r="I170" s="849"/>
      <c r="J170" s="849"/>
      <c r="K170" s="849"/>
      <c r="L170" s="849"/>
      <c r="M170" s="849"/>
      <c r="N170" s="849"/>
      <c r="O170" s="849"/>
      <c r="P170" s="849"/>
    </row>
    <row r="171" spans="2:16">
      <c r="B171" s="849"/>
      <c r="C171" s="849"/>
      <c r="D171" s="849"/>
      <c r="E171" s="849"/>
      <c r="F171" s="849"/>
      <c r="G171" s="849"/>
      <c r="H171" s="849"/>
      <c r="I171" s="849"/>
      <c r="J171" s="849"/>
      <c r="K171" s="849"/>
      <c r="L171" s="849"/>
      <c r="M171" s="849"/>
      <c r="N171" s="849"/>
      <c r="O171" s="849"/>
      <c r="P171" s="849"/>
    </row>
    <row r="172" spans="2:16">
      <c r="B172" s="849"/>
      <c r="C172" s="849"/>
      <c r="D172" s="849"/>
      <c r="E172" s="849"/>
      <c r="F172" s="849"/>
      <c r="G172" s="849"/>
      <c r="H172" s="849"/>
      <c r="I172" s="849"/>
      <c r="J172" s="849"/>
      <c r="K172" s="849"/>
      <c r="L172" s="849"/>
      <c r="M172" s="849"/>
      <c r="N172" s="849"/>
      <c r="O172" s="849"/>
      <c r="P172" s="849"/>
    </row>
    <row r="173" spans="2:16">
      <c r="B173" s="849"/>
      <c r="C173" s="849"/>
      <c r="D173" s="849"/>
      <c r="E173" s="849"/>
      <c r="F173" s="849"/>
      <c r="G173" s="849"/>
      <c r="H173" s="849"/>
      <c r="I173" s="849"/>
      <c r="J173" s="849"/>
      <c r="K173" s="849"/>
      <c r="L173" s="849"/>
      <c r="M173" s="849"/>
      <c r="N173" s="849"/>
      <c r="O173" s="849"/>
      <c r="P173" s="849"/>
    </row>
    <row r="174" spans="2:16">
      <c r="B174" s="849"/>
      <c r="C174" s="849"/>
      <c r="D174" s="849"/>
      <c r="E174" s="849"/>
      <c r="F174" s="849"/>
      <c r="G174" s="849"/>
      <c r="H174" s="849"/>
      <c r="I174" s="849"/>
      <c r="J174" s="849"/>
      <c r="K174" s="849"/>
      <c r="L174" s="849"/>
      <c r="M174" s="849"/>
      <c r="N174" s="849"/>
      <c r="O174" s="849"/>
      <c r="P174" s="849"/>
    </row>
  </sheetData>
  <mergeCells count="354">
    <mergeCell ref="B172:L172"/>
    <mergeCell ref="M172:N172"/>
    <mergeCell ref="O172:P172"/>
    <mergeCell ref="B173:L173"/>
    <mergeCell ref="M173:N173"/>
    <mergeCell ref="O173:P173"/>
    <mergeCell ref="B174:L174"/>
    <mergeCell ref="M174:N174"/>
    <mergeCell ref="O174:P174"/>
    <mergeCell ref="B169:L169"/>
    <mergeCell ref="M169:N169"/>
    <mergeCell ref="O169:P169"/>
    <mergeCell ref="B170:L170"/>
    <mergeCell ref="M170:N170"/>
    <mergeCell ref="O170:P170"/>
    <mergeCell ref="B171:L171"/>
    <mergeCell ref="M171:N171"/>
    <mergeCell ref="O171:P171"/>
    <mergeCell ref="B166:L166"/>
    <mergeCell ref="M166:N166"/>
    <mergeCell ref="O166:P166"/>
    <mergeCell ref="B167:L167"/>
    <mergeCell ref="M167:N167"/>
    <mergeCell ref="O167:P167"/>
    <mergeCell ref="B168:L168"/>
    <mergeCell ref="M168:N168"/>
    <mergeCell ref="O168:P168"/>
    <mergeCell ref="B163:L163"/>
    <mergeCell ref="M163:N163"/>
    <mergeCell ref="O163:P163"/>
    <mergeCell ref="B164:L164"/>
    <mergeCell ref="M164:N164"/>
    <mergeCell ref="O164:P164"/>
    <mergeCell ref="B165:L165"/>
    <mergeCell ref="M165:N165"/>
    <mergeCell ref="O165:P165"/>
    <mergeCell ref="B160:L160"/>
    <mergeCell ref="M160:N160"/>
    <mergeCell ref="O160:P160"/>
    <mergeCell ref="B161:L161"/>
    <mergeCell ref="M161:N161"/>
    <mergeCell ref="O161:P161"/>
    <mergeCell ref="B162:L162"/>
    <mergeCell ref="M162:N162"/>
    <mergeCell ref="O162:P162"/>
    <mergeCell ref="B157:L157"/>
    <mergeCell ref="M157:N157"/>
    <mergeCell ref="O157:P157"/>
    <mergeCell ref="B158:L158"/>
    <mergeCell ref="M158:N158"/>
    <mergeCell ref="O158:P158"/>
    <mergeCell ref="B159:L159"/>
    <mergeCell ref="M159:N159"/>
    <mergeCell ref="O159:P159"/>
    <mergeCell ref="B154:L154"/>
    <mergeCell ref="M154:N154"/>
    <mergeCell ref="O154:P154"/>
    <mergeCell ref="B155:L155"/>
    <mergeCell ref="M155:N155"/>
    <mergeCell ref="O155:P155"/>
    <mergeCell ref="B156:L156"/>
    <mergeCell ref="M156:N156"/>
    <mergeCell ref="O156:P156"/>
    <mergeCell ref="O147:P147"/>
    <mergeCell ref="A148:P150"/>
    <mergeCell ref="B151:L151"/>
    <mergeCell ref="M151:N151"/>
    <mergeCell ref="O151:P151"/>
    <mergeCell ref="B152:L152"/>
    <mergeCell ref="M152:N152"/>
    <mergeCell ref="O152:P152"/>
    <mergeCell ref="B153:L153"/>
    <mergeCell ref="M153:N153"/>
    <mergeCell ref="O153:P153"/>
    <mergeCell ref="A140:B145"/>
    <mergeCell ref="C140:N140"/>
    <mergeCell ref="C141:N141"/>
    <mergeCell ref="C142:N142"/>
    <mergeCell ref="C143:N143"/>
    <mergeCell ref="C144:N144"/>
    <mergeCell ref="C145:N145"/>
    <mergeCell ref="A147:L147"/>
    <mergeCell ref="M147:N147"/>
    <mergeCell ref="A131:B131"/>
    <mergeCell ref="C131:N131"/>
    <mergeCell ref="A132:B135"/>
    <mergeCell ref="C132:N132"/>
    <mergeCell ref="C133:N133"/>
    <mergeCell ref="C134:N134"/>
    <mergeCell ref="C135:N135"/>
    <mergeCell ref="A136:B139"/>
    <mergeCell ref="C136:N136"/>
    <mergeCell ref="C137:N137"/>
    <mergeCell ref="C138:N138"/>
    <mergeCell ref="C139:N139"/>
    <mergeCell ref="A121:P121"/>
    <mergeCell ref="A122:B122"/>
    <mergeCell ref="C122:N122"/>
    <mergeCell ref="A123:B126"/>
    <mergeCell ref="C123:N123"/>
    <mergeCell ref="C124:N124"/>
    <mergeCell ref="C125:N125"/>
    <mergeCell ref="C126:N126"/>
    <mergeCell ref="A127:B130"/>
    <mergeCell ref="C127:N127"/>
    <mergeCell ref="C128:N128"/>
    <mergeCell ref="C129:N129"/>
    <mergeCell ref="P129:P130"/>
    <mergeCell ref="C130:N130"/>
    <mergeCell ref="T110:T117"/>
    <mergeCell ref="U110:U117"/>
    <mergeCell ref="V110:V117"/>
    <mergeCell ref="W110:W117"/>
    <mergeCell ref="A113:A119"/>
    <mergeCell ref="J113:J119"/>
    <mergeCell ref="K113:K119"/>
    <mergeCell ref="L113:L119"/>
    <mergeCell ref="M113:M119"/>
    <mergeCell ref="N113:N119"/>
    <mergeCell ref="O113:P119"/>
    <mergeCell ref="A109:A112"/>
    <mergeCell ref="J109:J112"/>
    <mergeCell ref="K109:K112"/>
    <mergeCell ref="L109:L112"/>
    <mergeCell ref="M109:M112"/>
    <mergeCell ref="N109:N112"/>
    <mergeCell ref="R110:R117"/>
    <mergeCell ref="S110:S117"/>
    <mergeCell ref="O109:P112"/>
    <mergeCell ref="A95:A101"/>
    <mergeCell ref="J95:J101"/>
    <mergeCell ref="K95:K101"/>
    <mergeCell ref="L95:L101"/>
    <mergeCell ref="M95:M101"/>
    <mergeCell ref="N95:N101"/>
    <mergeCell ref="O95:P101"/>
    <mergeCell ref="A102:A108"/>
    <mergeCell ref="J102:J108"/>
    <mergeCell ref="K102:K108"/>
    <mergeCell ref="L102:L108"/>
    <mergeCell ref="M102:M108"/>
    <mergeCell ref="N102:N108"/>
    <mergeCell ref="O102:P108"/>
    <mergeCell ref="A87:A90"/>
    <mergeCell ref="J87:J90"/>
    <mergeCell ref="K87:K90"/>
    <mergeCell ref="L87:L90"/>
    <mergeCell ref="M87:M90"/>
    <mergeCell ref="N87:N90"/>
    <mergeCell ref="O87:P90"/>
    <mergeCell ref="A91:A94"/>
    <mergeCell ref="J91:J94"/>
    <mergeCell ref="K91:K94"/>
    <mergeCell ref="L91:L94"/>
    <mergeCell ref="M91:M94"/>
    <mergeCell ref="N91:N94"/>
    <mergeCell ref="O91:P94"/>
    <mergeCell ref="A79:A82"/>
    <mergeCell ref="J79:J82"/>
    <mergeCell ref="K79:K82"/>
    <mergeCell ref="L79:L82"/>
    <mergeCell ref="M79:M82"/>
    <mergeCell ref="N79:N82"/>
    <mergeCell ref="O79:P82"/>
    <mergeCell ref="A83:A86"/>
    <mergeCell ref="J83:J86"/>
    <mergeCell ref="K83:K86"/>
    <mergeCell ref="L83:L86"/>
    <mergeCell ref="M83:M86"/>
    <mergeCell ref="N83:N86"/>
    <mergeCell ref="O83:P86"/>
    <mergeCell ref="A75:P75"/>
    <mergeCell ref="A76:A78"/>
    <mergeCell ref="B76:C76"/>
    <mergeCell ref="D76:D78"/>
    <mergeCell ref="E76:G76"/>
    <mergeCell ref="H76:H78"/>
    <mergeCell ref="I76:I78"/>
    <mergeCell ref="J76:M76"/>
    <mergeCell ref="N76:N78"/>
    <mergeCell ref="O76:P78"/>
    <mergeCell ref="B77:B78"/>
    <mergeCell ref="C77:C78"/>
    <mergeCell ref="E77:E78"/>
    <mergeCell ref="F77:F78"/>
    <mergeCell ref="G77:G78"/>
    <mergeCell ref="J77:J78"/>
    <mergeCell ref="K77:K78"/>
    <mergeCell ref="L77:L78"/>
    <mergeCell ref="M77:M78"/>
    <mergeCell ref="A69:A71"/>
    <mergeCell ref="J69:J71"/>
    <mergeCell ref="K69:K71"/>
    <mergeCell ref="L69:L71"/>
    <mergeCell ref="M69:M71"/>
    <mergeCell ref="N69:N71"/>
    <mergeCell ref="O69:O71"/>
    <mergeCell ref="P69:P71"/>
    <mergeCell ref="A72:A74"/>
    <mergeCell ref="J72:J74"/>
    <mergeCell ref="K72:K74"/>
    <mergeCell ref="L72:L74"/>
    <mergeCell ref="M72:M74"/>
    <mergeCell ref="N72:N74"/>
    <mergeCell ref="O72:O74"/>
    <mergeCell ref="P72:P74"/>
    <mergeCell ref="A63:A65"/>
    <mergeCell ref="J63:J65"/>
    <mergeCell ref="K63:K65"/>
    <mergeCell ref="L63:L65"/>
    <mergeCell ref="M63:M65"/>
    <mergeCell ref="N63:N65"/>
    <mergeCell ref="O63:O65"/>
    <mergeCell ref="P63:P65"/>
    <mergeCell ref="A66:A68"/>
    <mergeCell ref="J66:J68"/>
    <mergeCell ref="K66:K68"/>
    <mergeCell ref="L66:L68"/>
    <mergeCell ref="M66:M68"/>
    <mergeCell ref="N66:N68"/>
    <mergeCell ref="O66:O68"/>
    <mergeCell ref="P66:P68"/>
    <mergeCell ref="A57:A59"/>
    <mergeCell ref="J57:J59"/>
    <mergeCell ref="K57:K59"/>
    <mergeCell ref="L57:L59"/>
    <mergeCell ref="M57:M59"/>
    <mergeCell ref="N57:N59"/>
    <mergeCell ref="O57:O59"/>
    <mergeCell ref="P57:P59"/>
    <mergeCell ref="A60:A62"/>
    <mergeCell ref="J60:J62"/>
    <mergeCell ref="K60:K62"/>
    <mergeCell ref="L60:L62"/>
    <mergeCell ref="M60:M62"/>
    <mergeCell ref="N60:N62"/>
    <mergeCell ref="O60:O62"/>
    <mergeCell ref="P60:P62"/>
    <mergeCell ref="A47:A52"/>
    <mergeCell ref="J47:J52"/>
    <mergeCell ref="K47:K52"/>
    <mergeCell ref="L47:L52"/>
    <mergeCell ref="M47:M52"/>
    <mergeCell ref="N47:N52"/>
    <mergeCell ref="O47:O52"/>
    <mergeCell ref="P47:P52"/>
    <mergeCell ref="A53:A55"/>
    <mergeCell ref="J53:J55"/>
    <mergeCell ref="K53:K55"/>
    <mergeCell ref="L53:L55"/>
    <mergeCell ref="M53:M55"/>
    <mergeCell ref="N53:N55"/>
    <mergeCell ref="O53:O55"/>
    <mergeCell ref="P53:P55"/>
    <mergeCell ref="A42:A44"/>
    <mergeCell ref="J42:J44"/>
    <mergeCell ref="K42:K44"/>
    <mergeCell ref="L42:L44"/>
    <mergeCell ref="M42:M44"/>
    <mergeCell ref="N42:N44"/>
    <mergeCell ref="O42:O44"/>
    <mergeCell ref="P42:P44"/>
    <mergeCell ref="A45:A46"/>
    <mergeCell ref="J45:J46"/>
    <mergeCell ref="K45:K46"/>
    <mergeCell ref="L45:L46"/>
    <mergeCell ref="M45:M46"/>
    <mergeCell ref="N45:N46"/>
    <mergeCell ref="O45:O46"/>
    <mergeCell ref="P45:P46"/>
    <mergeCell ref="A35:A38"/>
    <mergeCell ref="J35:J38"/>
    <mergeCell ref="K35:K38"/>
    <mergeCell ref="L35:L38"/>
    <mergeCell ref="M35:M38"/>
    <mergeCell ref="N35:N38"/>
    <mergeCell ref="O35:O38"/>
    <mergeCell ref="P35:P38"/>
    <mergeCell ref="A39:A41"/>
    <mergeCell ref="J39:J41"/>
    <mergeCell ref="K39:K41"/>
    <mergeCell ref="L39:L41"/>
    <mergeCell ref="M39:M41"/>
    <mergeCell ref="N39:N41"/>
    <mergeCell ref="O39:O41"/>
    <mergeCell ref="P39:P41"/>
    <mergeCell ref="A28:A30"/>
    <mergeCell ref="J28:J30"/>
    <mergeCell ref="K28:K30"/>
    <mergeCell ref="L28:L30"/>
    <mergeCell ref="M28:M30"/>
    <mergeCell ref="N28:N30"/>
    <mergeCell ref="O28:O30"/>
    <mergeCell ref="P28:P30"/>
    <mergeCell ref="A31:A34"/>
    <mergeCell ref="J31:J34"/>
    <mergeCell ref="K31:K34"/>
    <mergeCell ref="L31:L34"/>
    <mergeCell ref="M31:M34"/>
    <mergeCell ref="N31:N34"/>
    <mergeCell ref="O31:O34"/>
    <mergeCell ref="P31:P34"/>
    <mergeCell ref="A17:A22"/>
    <mergeCell ref="J17:J22"/>
    <mergeCell ref="K17:K22"/>
    <mergeCell ref="L17:L22"/>
    <mergeCell ref="M17:M22"/>
    <mergeCell ref="N17:N22"/>
    <mergeCell ref="O17:O22"/>
    <mergeCell ref="P17:P22"/>
    <mergeCell ref="A23:A27"/>
    <mergeCell ref="P23:P27"/>
    <mergeCell ref="O23:O27"/>
    <mergeCell ref="N23:N27"/>
    <mergeCell ref="M23:M27"/>
    <mergeCell ref="L23:L27"/>
    <mergeCell ref="K23:K27"/>
    <mergeCell ref="J23:J27"/>
    <mergeCell ref="K5:K11"/>
    <mergeCell ref="L5:L11"/>
    <mergeCell ref="M5:M11"/>
    <mergeCell ref="N5:N11"/>
    <mergeCell ref="O5:O11"/>
    <mergeCell ref="A12:A16"/>
    <mergeCell ref="J12:J16"/>
    <mergeCell ref="K12:K16"/>
    <mergeCell ref="L12:L16"/>
    <mergeCell ref="M12:M16"/>
    <mergeCell ref="N12:N16"/>
    <mergeCell ref="O12:O16"/>
    <mergeCell ref="P12:P16"/>
    <mergeCell ref="A1:P1"/>
    <mergeCell ref="A2:A4"/>
    <mergeCell ref="B2:C2"/>
    <mergeCell ref="E2:G2"/>
    <mergeCell ref="H2:H4"/>
    <mergeCell ref="I2:I4"/>
    <mergeCell ref="J2:N2"/>
    <mergeCell ref="O2:O4"/>
    <mergeCell ref="P2:P4"/>
    <mergeCell ref="B3:B4"/>
    <mergeCell ref="C3:C4"/>
    <mergeCell ref="D3:D4"/>
    <mergeCell ref="E3:E4"/>
    <mergeCell ref="F3:F4"/>
    <mergeCell ref="G3:G4"/>
    <mergeCell ref="J3:J4"/>
    <mergeCell ref="K3:K4"/>
    <mergeCell ref="L3:L4"/>
    <mergeCell ref="M3:M4"/>
    <mergeCell ref="N3:N4"/>
    <mergeCell ref="P5:P11"/>
    <mergeCell ref="A5:A11"/>
    <mergeCell ref="J5:J11"/>
  </mergeCells>
  <phoneticPr fontId="37" type="noConversion"/>
  <pageMargins left="0.48222222924232483" right="0.74805557727813721" top="0.60430556535720825" bottom="0.37902778387069702" header="0.51138889789581299" footer="0.51138889789581299"/>
  <pageSetup paperSize="9" scale="36" fitToHeight="0" orientation="portrait" r:id="rId1"/>
  <rowBreaks count="3" manualBreakCount="3">
    <brk id="94" max="1048575" man="1"/>
    <brk id="113" max="1048575" man="1"/>
    <brk id="154" max="1048575" man="1"/>
  </rowBreaks>
  <colBreaks count="1" manualBreakCount="1">
    <brk id="16" max="1638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843A"/>
  </sheetPr>
  <dimension ref="B1:K34"/>
  <sheetViews>
    <sheetView view="pageBreakPreview" topLeftCell="B18" zoomScaleNormal="100" zoomScaleSheetLayoutView="100" workbookViewId="0">
      <selection activeCell="N16" sqref="N16"/>
    </sheetView>
  </sheetViews>
  <sheetFormatPr defaultColWidth="9" defaultRowHeight="16.5"/>
  <cols>
    <col min="1" max="1" width="5.125" style="260" customWidth="1"/>
    <col min="2" max="11" width="11.375" style="260" customWidth="1"/>
    <col min="12" max="12" width="5.75" style="260" customWidth="1"/>
    <col min="13" max="16384" width="9" style="260"/>
  </cols>
  <sheetData>
    <row r="1" spans="2:11" ht="22.15" customHeight="1">
      <c r="B1" s="851" t="s">
        <v>62</v>
      </c>
      <c r="C1" s="851"/>
      <c r="D1" s="851"/>
      <c r="E1" s="851"/>
      <c r="F1" s="851"/>
      <c r="G1" s="851"/>
      <c r="H1" s="851"/>
      <c r="I1" s="851"/>
      <c r="J1" s="851"/>
      <c r="K1" s="851"/>
    </row>
    <row r="2" spans="2:11">
      <c r="B2" s="852"/>
      <c r="C2" s="852"/>
      <c r="D2" s="852"/>
      <c r="E2" s="852"/>
      <c r="F2" s="852"/>
    </row>
    <row r="3" spans="2:11" ht="30" customHeight="1">
      <c r="B3" s="853"/>
      <c r="C3" s="853"/>
      <c r="D3" s="853"/>
      <c r="E3" s="853"/>
      <c r="F3" s="853"/>
      <c r="G3" s="853"/>
      <c r="H3" s="853"/>
      <c r="I3" s="853"/>
      <c r="J3" s="853"/>
      <c r="K3" s="853"/>
    </row>
    <row r="4" spans="2:11" ht="30" customHeight="1">
      <c r="B4" s="853"/>
      <c r="C4" s="853"/>
      <c r="D4" s="853"/>
      <c r="E4" s="853"/>
      <c r="F4" s="853"/>
      <c r="G4" s="853"/>
      <c r="H4" s="853"/>
      <c r="I4" s="853"/>
      <c r="J4" s="853"/>
      <c r="K4" s="853"/>
    </row>
    <row r="5" spans="2:11" ht="30" customHeight="1">
      <c r="B5" s="853"/>
      <c r="C5" s="853"/>
      <c r="D5" s="853"/>
      <c r="E5" s="853"/>
      <c r="F5" s="853"/>
      <c r="G5" s="853"/>
      <c r="H5" s="853"/>
      <c r="I5" s="853"/>
      <c r="J5" s="853"/>
      <c r="K5" s="853"/>
    </row>
    <row r="6" spans="2:11" ht="30" customHeight="1">
      <c r="B6" s="853"/>
      <c r="C6" s="853"/>
      <c r="D6" s="853"/>
      <c r="E6" s="853"/>
      <c r="F6" s="853"/>
      <c r="G6" s="853"/>
      <c r="H6" s="853"/>
      <c r="I6" s="853"/>
      <c r="J6" s="853"/>
      <c r="K6" s="853"/>
    </row>
    <row r="7" spans="2:11" ht="30" customHeight="1">
      <c r="B7" s="853"/>
      <c r="C7" s="853"/>
      <c r="D7" s="853"/>
      <c r="E7" s="853"/>
      <c r="F7" s="853"/>
      <c r="G7" s="853"/>
      <c r="H7" s="853"/>
      <c r="I7" s="853"/>
      <c r="J7" s="853"/>
      <c r="K7" s="853"/>
    </row>
    <row r="8" spans="2:11" ht="30" customHeight="1">
      <c r="B8" s="853"/>
      <c r="C8" s="853"/>
      <c r="D8" s="853"/>
      <c r="E8" s="853"/>
      <c r="F8" s="853"/>
      <c r="G8" s="853"/>
      <c r="H8" s="853"/>
      <c r="I8" s="853"/>
      <c r="J8" s="853"/>
      <c r="K8" s="853"/>
    </row>
    <row r="9" spans="2:11" ht="30" customHeight="1">
      <c r="B9" s="853"/>
      <c r="C9" s="853"/>
      <c r="D9" s="853"/>
      <c r="E9" s="853"/>
      <c r="F9" s="853"/>
      <c r="G9" s="853"/>
      <c r="H9" s="853"/>
      <c r="I9" s="853"/>
      <c r="J9" s="853"/>
      <c r="K9" s="853"/>
    </row>
    <row r="10" spans="2:11" ht="30" customHeight="1">
      <c r="B10" s="853"/>
      <c r="C10" s="853"/>
      <c r="D10" s="853"/>
      <c r="E10" s="853"/>
      <c r="F10" s="853"/>
      <c r="G10" s="853"/>
      <c r="H10" s="853"/>
      <c r="I10" s="853"/>
      <c r="J10" s="853"/>
      <c r="K10" s="853"/>
    </row>
    <row r="11" spans="2:11" ht="30" customHeight="1">
      <c r="B11" s="853"/>
      <c r="C11" s="853"/>
      <c r="D11" s="853"/>
      <c r="E11" s="853"/>
      <c r="F11" s="853"/>
      <c r="G11" s="853"/>
      <c r="H11" s="853"/>
      <c r="I11" s="853"/>
      <c r="J11" s="853"/>
      <c r="K11" s="853"/>
    </row>
    <row r="12" spans="2:11" ht="24.95" customHeight="1">
      <c r="B12" s="853" t="s">
        <v>260</v>
      </c>
      <c r="C12" s="853"/>
      <c r="D12" s="853"/>
      <c r="E12" s="853"/>
      <c r="F12" s="853"/>
      <c r="G12" s="853" t="s">
        <v>78</v>
      </c>
      <c r="H12" s="853"/>
      <c r="I12" s="853"/>
      <c r="J12" s="853"/>
      <c r="K12" s="853"/>
    </row>
    <row r="14" spans="2:11" ht="30" customHeight="1">
      <c r="B14" s="853"/>
      <c r="C14" s="853"/>
      <c r="D14" s="853"/>
      <c r="E14" s="853"/>
      <c r="F14" s="853"/>
      <c r="G14" s="853"/>
      <c r="H14" s="853"/>
      <c r="I14" s="853"/>
      <c r="J14" s="853"/>
      <c r="K14" s="853"/>
    </row>
    <row r="15" spans="2:11" ht="30" customHeight="1">
      <c r="B15" s="853"/>
      <c r="C15" s="853"/>
      <c r="D15" s="853"/>
      <c r="E15" s="853"/>
      <c r="F15" s="853"/>
      <c r="G15" s="853"/>
      <c r="H15" s="853"/>
      <c r="I15" s="853"/>
      <c r="J15" s="853"/>
      <c r="K15" s="853"/>
    </row>
    <row r="16" spans="2:11" ht="30" customHeight="1">
      <c r="B16" s="853"/>
      <c r="C16" s="853"/>
      <c r="D16" s="853"/>
      <c r="E16" s="853"/>
      <c r="F16" s="853"/>
      <c r="G16" s="853"/>
      <c r="H16" s="853"/>
      <c r="I16" s="853"/>
      <c r="J16" s="853"/>
      <c r="K16" s="853"/>
    </row>
    <row r="17" spans="2:11" ht="30" customHeight="1">
      <c r="B17" s="853"/>
      <c r="C17" s="853"/>
      <c r="D17" s="853"/>
      <c r="E17" s="853"/>
      <c r="F17" s="853"/>
      <c r="G17" s="853"/>
      <c r="H17" s="853"/>
      <c r="I17" s="853"/>
      <c r="J17" s="853"/>
      <c r="K17" s="853"/>
    </row>
    <row r="18" spans="2:11" ht="30" customHeight="1">
      <c r="B18" s="853"/>
      <c r="C18" s="853"/>
      <c r="D18" s="853"/>
      <c r="E18" s="853"/>
      <c r="F18" s="853"/>
      <c r="G18" s="853"/>
      <c r="H18" s="853"/>
      <c r="I18" s="853"/>
      <c r="J18" s="853"/>
      <c r="K18" s="853"/>
    </row>
    <row r="19" spans="2:11" ht="30" customHeight="1">
      <c r="B19" s="853"/>
      <c r="C19" s="853"/>
      <c r="D19" s="853"/>
      <c r="E19" s="853"/>
      <c r="F19" s="853"/>
      <c r="G19" s="853"/>
      <c r="H19" s="853"/>
      <c r="I19" s="853"/>
      <c r="J19" s="853"/>
      <c r="K19" s="853"/>
    </row>
    <row r="20" spans="2:11" ht="30" customHeight="1">
      <c r="B20" s="853"/>
      <c r="C20" s="853"/>
      <c r="D20" s="853"/>
      <c r="E20" s="853"/>
      <c r="F20" s="853"/>
      <c r="G20" s="853"/>
      <c r="H20" s="853"/>
      <c r="I20" s="853"/>
      <c r="J20" s="853"/>
      <c r="K20" s="853"/>
    </row>
    <row r="21" spans="2:11" ht="30" customHeight="1">
      <c r="B21" s="853"/>
      <c r="C21" s="853"/>
      <c r="D21" s="853"/>
      <c r="E21" s="853"/>
      <c r="F21" s="853"/>
      <c r="G21" s="853"/>
      <c r="H21" s="853"/>
      <c r="I21" s="853"/>
      <c r="J21" s="853"/>
      <c r="K21" s="853"/>
    </row>
    <row r="22" spans="2:11" ht="30" customHeight="1">
      <c r="B22" s="853"/>
      <c r="C22" s="853"/>
      <c r="D22" s="853"/>
      <c r="E22" s="853"/>
      <c r="F22" s="853"/>
      <c r="G22" s="853"/>
      <c r="H22" s="853"/>
      <c r="I22" s="853"/>
      <c r="J22" s="853"/>
      <c r="K22" s="853"/>
    </row>
    <row r="23" spans="2:11" ht="24.95" customHeight="1">
      <c r="B23" s="853" t="s">
        <v>254</v>
      </c>
      <c r="C23" s="853"/>
      <c r="D23" s="853"/>
      <c r="E23" s="853"/>
      <c r="F23" s="853"/>
      <c r="G23" s="853" t="s">
        <v>398</v>
      </c>
      <c r="H23" s="853"/>
      <c r="I23" s="853"/>
      <c r="J23" s="853"/>
      <c r="K23" s="853"/>
    </row>
    <row r="25" spans="2:11" ht="30" customHeight="1">
      <c r="B25" s="853"/>
      <c r="C25" s="853"/>
      <c r="D25" s="853"/>
      <c r="E25" s="853"/>
      <c r="F25" s="853"/>
      <c r="G25" s="853"/>
      <c r="H25" s="853"/>
      <c r="I25" s="853"/>
      <c r="J25" s="853"/>
      <c r="K25" s="853"/>
    </row>
    <row r="26" spans="2:11" ht="30" customHeight="1">
      <c r="B26" s="853"/>
      <c r="C26" s="853"/>
      <c r="D26" s="853"/>
      <c r="E26" s="853"/>
      <c r="F26" s="853"/>
      <c r="G26" s="853"/>
      <c r="H26" s="853"/>
      <c r="I26" s="853"/>
      <c r="J26" s="853"/>
      <c r="K26" s="853"/>
    </row>
    <row r="27" spans="2:11" ht="30" customHeight="1">
      <c r="B27" s="853"/>
      <c r="C27" s="853"/>
      <c r="D27" s="853"/>
      <c r="E27" s="853"/>
      <c r="F27" s="853"/>
      <c r="G27" s="853"/>
      <c r="H27" s="853"/>
      <c r="I27" s="853"/>
      <c r="J27" s="853"/>
      <c r="K27" s="853"/>
    </row>
    <row r="28" spans="2:11" ht="30" customHeight="1">
      <c r="B28" s="853"/>
      <c r="C28" s="853"/>
      <c r="D28" s="853"/>
      <c r="E28" s="853"/>
      <c r="F28" s="853"/>
      <c r="G28" s="853"/>
      <c r="H28" s="853"/>
      <c r="I28" s="853"/>
      <c r="J28" s="853"/>
      <c r="K28" s="853"/>
    </row>
    <row r="29" spans="2:11" ht="30" customHeight="1">
      <c r="B29" s="853"/>
      <c r="C29" s="853"/>
      <c r="D29" s="853"/>
      <c r="E29" s="853"/>
      <c r="F29" s="853"/>
      <c r="G29" s="853"/>
      <c r="H29" s="853"/>
      <c r="I29" s="853"/>
      <c r="J29" s="853"/>
      <c r="K29" s="853"/>
    </row>
    <row r="30" spans="2:11" ht="30" customHeight="1">
      <c r="B30" s="853"/>
      <c r="C30" s="853"/>
      <c r="D30" s="853"/>
      <c r="E30" s="853"/>
      <c r="F30" s="853"/>
      <c r="G30" s="853"/>
      <c r="H30" s="853"/>
      <c r="I30" s="853"/>
      <c r="J30" s="853"/>
      <c r="K30" s="853"/>
    </row>
    <row r="31" spans="2:11" ht="30" customHeight="1">
      <c r="B31" s="853"/>
      <c r="C31" s="853"/>
      <c r="D31" s="853"/>
      <c r="E31" s="853"/>
      <c r="F31" s="853"/>
      <c r="G31" s="853"/>
      <c r="H31" s="853"/>
      <c r="I31" s="853"/>
      <c r="J31" s="853"/>
      <c r="K31" s="853"/>
    </row>
    <row r="32" spans="2:11" ht="30" customHeight="1">
      <c r="B32" s="853"/>
      <c r="C32" s="853"/>
      <c r="D32" s="853"/>
      <c r="E32" s="853"/>
      <c r="F32" s="853"/>
      <c r="G32" s="853"/>
      <c r="H32" s="853"/>
      <c r="I32" s="853"/>
      <c r="J32" s="853"/>
      <c r="K32" s="853"/>
    </row>
    <row r="33" spans="2:11" ht="30" customHeight="1">
      <c r="B33" s="853"/>
      <c r="C33" s="853"/>
      <c r="D33" s="853"/>
      <c r="E33" s="853"/>
      <c r="F33" s="853"/>
      <c r="G33" s="853"/>
      <c r="H33" s="853"/>
      <c r="I33" s="853"/>
      <c r="J33" s="853"/>
      <c r="K33" s="853"/>
    </row>
    <row r="34" spans="2:11" ht="24.95" customHeight="1">
      <c r="B34" s="853" t="s">
        <v>412</v>
      </c>
      <c r="C34" s="853"/>
      <c r="D34" s="853"/>
      <c r="E34" s="853"/>
      <c r="F34" s="853"/>
      <c r="G34" s="853" t="s">
        <v>424</v>
      </c>
      <c r="H34" s="853"/>
      <c r="I34" s="853"/>
      <c r="J34" s="853"/>
      <c r="K34" s="853"/>
    </row>
  </sheetData>
  <mergeCells count="14">
    <mergeCell ref="B34:F34"/>
    <mergeCell ref="G34:K34"/>
    <mergeCell ref="B14:F22"/>
    <mergeCell ref="G14:K22"/>
    <mergeCell ref="B23:F23"/>
    <mergeCell ref="G23:K23"/>
    <mergeCell ref="B25:F33"/>
    <mergeCell ref="G25:K33"/>
    <mergeCell ref="B1:K1"/>
    <mergeCell ref="B2:F2"/>
    <mergeCell ref="B3:F11"/>
    <mergeCell ref="G3:K11"/>
    <mergeCell ref="B12:F12"/>
    <mergeCell ref="G12:K12"/>
  </mergeCells>
  <phoneticPr fontId="37" type="noConversion"/>
  <pageMargins left="0.26958334445953369" right="0.37416666746139526" top="1.1706944704055786" bottom="0.98430556058883667" header="0.51138889789581299" footer="0.51138889789581299"/>
  <pageSetup paperSize="9" scale="71" fitToWidth="0" fitToHeight="0" orientation="portrait" r:id="rId1"/>
  <rowBreaks count="2" manualBreakCount="2">
    <brk id="34" max="1048575" man="1"/>
    <brk id="35" max="1048575" man="1"/>
  </rowBreaks>
  <colBreaks count="1" manualBreakCount="1">
    <brk id="12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rgb="FFFF6600"/>
  </sheetPr>
  <dimension ref="B1:N51"/>
  <sheetViews>
    <sheetView showGridLines="0" tabSelected="1" view="pageBreakPreview" topLeftCell="A33" zoomScaleNormal="100" zoomScaleSheetLayoutView="100" workbookViewId="0">
      <selection activeCell="Q49" sqref="Q49"/>
    </sheetView>
  </sheetViews>
  <sheetFormatPr defaultColWidth="9" defaultRowHeight="16.5"/>
  <cols>
    <col min="1" max="1" width="4" customWidth="1"/>
    <col min="2" max="2" width="6" customWidth="1"/>
    <col min="3" max="3" width="15" style="47" customWidth="1"/>
    <col min="4" max="4" width="16" style="47" customWidth="1"/>
    <col min="5" max="6" width="11.875" style="47" customWidth="1"/>
    <col min="7" max="7" width="12" style="47" customWidth="1"/>
    <col min="8" max="8" width="12.75" style="47" customWidth="1"/>
    <col min="9" max="9" width="12.25" style="47" customWidth="1"/>
    <col min="10" max="10" width="12.875" style="47" customWidth="1"/>
    <col min="11" max="11" width="11.5" style="47" customWidth="1"/>
    <col min="12" max="12" width="15.375" style="47" customWidth="1"/>
    <col min="15" max="15" width="9" bestFit="1" customWidth="1"/>
  </cols>
  <sheetData>
    <row r="1" spans="2:14">
      <c r="B1" s="31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2:14" ht="18" customHeight="1">
      <c r="B2" s="856" t="s">
        <v>443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</row>
    <row r="3" spans="2:14" ht="27.95" customHeight="1">
      <c r="B3" s="857" t="s">
        <v>423</v>
      </c>
      <c r="C3" s="857"/>
      <c r="D3" s="857"/>
      <c r="E3" s="857"/>
      <c r="F3" s="857"/>
      <c r="G3" s="857"/>
      <c r="H3" s="857"/>
      <c r="I3" s="857"/>
      <c r="J3" s="857"/>
      <c r="K3" s="857"/>
      <c r="L3" s="857"/>
    </row>
    <row r="4" spans="2:14" ht="22.5" customHeight="1">
      <c r="B4" s="858" t="s">
        <v>74</v>
      </c>
      <c r="C4" s="32" t="s">
        <v>122</v>
      </c>
      <c r="D4" s="859" t="str">
        <f>'입력1(학교시설명 등 기본사항 입력) 보고서1,2'!C2</f>
        <v>평촌경영고등학교</v>
      </c>
      <c r="E4" s="860"/>
      <c r="F4" s="861"/>
      <c r="G4" s="858" t="s">
        <v>51</v>
      </c>
      <c r="H4" s="532" t="s">
        <v>125</v>
      </c>
      <c r="I4" s="862" t="s">
        <v>63</v>
      </c>
      <c r="J4" s="862"/>
      <c r="K4" s="862"/>
      <c r="L4" s="862"/>
    </row>
    <row r="5" spans="2:14" ht="22.5" customHeight="1">
      <c r="B5" s="858"/>
      <c r="C5" s="32" t="s">
        <v>95</v>
      </c>
      <c r="D5" s="859" t="str">
        <f>'입력1(학교시설명 등 기본사항 입력) 보고서1,2'!C3</f>
        <v>경기도 안양시 동안구 학의로 186</v>
      </c>
      <c r="E5" s="860"/>
      <c r="F5" s="861"/>
      <c r="G5" s="858"/>
      <c r="H5" s="532" t="s">
        <v>213</v>
      </c>
      <c r="I5" s="862" t="s">
        <v>120</v>
      </c>
      <c r="J5" s="862"/>
      <c r="K5" s="862"/>
      <c r="L5" s="862"/>
    </row>
    <row r="6" spans="2:14" ht="22.5" customHeight="1">
      <c r="B6" s="858"/>
      <c r="C6" s="32" t="s">
        <v>454</v>
      </c>
      <c r="D6" s="863" t="str">
        <f>'입력1(학교시설명 등 기본사항 입력) 보고서1,2'!H2</f>
        <v>손옥기</v>
      </c>
      <c r="E6" s="864"/>
      <c r="F6" s="864"/>
      <c r="G6" s="858"/>
      <c r="H6" s="32" t="s">
        <v>231</v>
      </c>
      <c r="I6" s="863" t="s">
        <v>187</v>
      </c>
      <c r="J6" s="863"/>
      <c r="K6" s="863"/>
      <c r="L6" s="863"/>
    </row>
    <row r="7" spans="2:14" ht="22.5" customHeight="1">
      <c r="B7" s="858"/>
      <c r="C7" s="533" t="s">
        <v>166</v>
      </c>
      <c r="D7" s="862" t="s">
        <v>274</v>
      </c>
      <c r="E7" s="862"/>
      <c r="F7" s="862"/>
      <c r="G7" s="858"/>
      <c r="H7" s="532" t="s">
        <v>127</v>
      </c>
      <c r="I7" s="862" t="s">
        <v>52</v>
      </c>
      <c r="J7" s="862"/>
      <c r="K7" s="862"/>
      <c r="L7" s="862"/>
    </row>
    <row r="8" spans="2:14" ht="40.700000000000003" customHeight="1">
      <c r="B8" s="865" t="s">
        <v>132</v>
      </c>
      <c r="C8" s="858" t="s">
        <v>33</v>
      </c>
      <c r="D8" s="858" t="s">
        <v>298</v>
      </c>
      <c r="E8" s="858" t="s">
        <v>353</v>
      </c>
      <c r="F8" s="858" t="s">
        <v>159</v>
      </c>
      <c r="G8" s="858" t="s">
        <v>312</v>
      </c>
      <c r="H8" s="858" t="s">
        <v>352</v>
      </c>
      <c r="I8" s="868" t="s">
        <v>207</v>
      </c>
      <c r="J8" s="868"/>
      <c r="K8" s="868"/>
      <c r="L8" s="868"/>
    </row>
    <row r="9" spans="2:14" ht="42" customHeight="1">
      <c r="B9" s="866"/>
      <c r="C9" s="858"/>
      <c r="D9" s="858"/>
      <c r="E9" s="858"/>
      <c r="F9" s="858"/>
      <c r="G9" s="858"/>
      <c r="H9" s="858"/>
      <c r="I9" s="32" t="s">
        <v>497</v>
      </c>
      <c r="J9" s="32" t="s">
        <v>330</v>
      </c>
      <c r="K9" s="32" t="s">
        <v>308</v>
      </c>
      <c r="L9" s="32" t="s">
        <v>330</v>
      </c>
    </row>
    <row r="10" spans="2:14" ht="20.100000000000001" customHeight="1">
      <c r="B10" s="866"/>
      <c r="C10" s="527" t="str">
        <f>보고서3!B95</f>
        <v>5층 2-11반</v>
      </c>
      <c r="D10" s="518">
        <f>보고서3!G95</f>
        <v>25.5</v>
      </c>
      <c r="E10" s="518">
        <f>보고서3!G102</f>
        <v>41.389999999999993</v>
      </c>
      <c r="F10" s="518">
        <f>보고서3!G113</f>
        <v>57.04407951598963</v>
      </c>
      <c r="G10" s="33" t="s">
        <v>187</v>
      </c>
      <c r="H10" s="518" t="s">
        <v>187</v>
      </c>
      <c r="I10" s="33" t="s">
        <v>187</v>
      </c>
      <c r="J10" s="33" t="s">
        <v>187</v>
      </c>
      <c r="K10" s="33" t="s">
        <v>187</v>
      </c>
      <c r="L10" s="34" t="s">
        <v>187</v>
      </c>
    </row>
    <row r="11" spans="2:14" ht="20.100000000000001" customHeight="1">
      <c r="B11" s="866"/>
      <c r="C11" s="527" t="str">
        <f>보고서3!B96</f>
        <v>4층 2-4반</v>
      </c>
      <c r="D11" s="518">
        <f>보고서3!G96</f>
        <v>25.099999999999998</v>
      </c>
      <c r="E11" s="518">
        <f>보고서3!G103</f>
        <v>45.666666666666664</v>
      </c>
      <c r="F11" s="518">
        <f>보고서3!G114</f>
        <v>57.996485061511407</v>
      </c>
      <c r="G11" s="35" t="s">
        <v>187</v>
      </c>
      <c r="H11" s="518" t="s">
        <v>187</v>
      </c>
      <c r="I11" s="35" t="s">
        <v>187</v>
      </c>
      <c r="J11" s="35" t="s">
        <v>187</v>
      </c>
      <c r="K11" s="35" t="s">
        <v>187</v>
      </c>
      <c r="L11" s="36" t="s">
        <v>187</v>
      </c>
    </row>
    <row r="12" spans="2:14" ht="20.100000000000001" customHeight="1">
      <c r="B12" s="866"/>
      <c r="C12" s="527" t="str">
        <f>보고서3!B97</f>
        <v>1층 (도제)회계실무실습실</v>
      </c>
      <c r="D12" s="518">
        <f>보고서3!G97</f>
        <v>25.733333333333334</v>
      </c>
      <c r="E12" s="518">
        <f>보고서3!G104</f>
        <v>51.70000000000001</v>
      </c>
      <c r="F12" s="518">
        <f>보고서3!G115</f>
        <v>70.739549839228303</v>
      </c>
      <c r="G12" s="33" t="s">
        <v>187</v>
      </c>
      <c r="H12" s="518" t="s">
        <v>187</v>
      </c>
      <c r="I12" s="33" t="s">
        <v>187</v>
      </c>
      <c r="J12" s="33" t="s">
        <v>187</v>
      </c>
      <c r="K12" s="33" t="s">
        <v>187</v>
      </c>
      <c r="L12" s="34" t="s">
        <v>187</v>
      </c>
    </row>
    <row r="13" spans="2:14" ht="20.100000000000001" customHeight="1">
      <c r="B13" s="866"/>
      <c r="C13" s="527" t="str">
        <f>보고서3!B98</f>
        <v>-</v>
      </c>
      <c r="D13" s="518" t="str">
        <f>보고서3!G98</f>
        <v>-</v>
      </c>
      <c r="E13" s="518" t="str">
        <f>보고서3!G105</f>
        <v>-</v>
      </c>
      <c r="F13" s="518" t="str">
        <f>보고서3!G116</f>
        <v>-</v>
      </c>
      <c r="G13" s="33" t="s">
        <v>187</v>
      </c>
      <c r="H13" s="518" t="s">
        <v>187</v>
      </c>
      <c r="I13" s="33" t="s">
        <v>187</v>
      </c>
      <c r="J13" s="33" t="s">
        <v>187</v>
      </c>
      <c r="K13" s="33" t="s">
        <v>187</v>
      </c>
      <c r="L13" s="34"/>
    </row>
    <row r="14" spans="2:14" ht="20.100000000000001" hidden="1" customHeight="1">
      <c r="B14" s="865"/>
      <c r="C14" s="528" t="str">
        <f>'입력2(측정)'!B68</f>
        <v>4층 1-7반</v>
      </c>
      <c r="D14" s="518" t="str">
        <f>보고서3!G99</f>
        <v>-</v>
      </c>
      <c r="E14" s="518" t="str">
        <f>보고서3!G106</f>
        <v>-</v>
      </c>
      <c r="F14" s="518" t="e">
        <f>'입력2(측정)'!#REF!</f>
        <v>#REF!</v>
      </c>
      <c r="G14" s="132" t="s">
        <v>187</v>
      </c>
      <c r="H14" s="518" t="s">
        <v>187</v>
      </c>
      <c r="I14" s="146">
        <f>'입력2(측정)'!T78</f>
        <v>504.55555555555554</v>
      </c>
      <c r="J14" s="145">
        <f>'입력2(측정)'!T94</f>
        <v>1.3302107728337236</v>
      </c>
      <c r="K14" s="146">
        <f>'입력2(측정)'!T86</f>
        <v>773.55555555555554</v>
      </c>
      <c r="L14" s="147">
        <f>'입력2(측정)'!T102</f>
        <v>1.3004354136429608</v>
      </c>
    </row>
    <row r="15" spans="2:14" ht="20.100000000000001" customHeight="1">
      <c r="B15" s="865"/>
      <c r="C15" s="528" t="str">
        <f>보고서3!B23</f>
        <v>5층 1-9반</v>
      </c>
      <c r="D15" s="518" t="s">
        <v>187</v>
      </c>
      <c r="E15" s="518" t="s">
        <v>187</v>
      </c>
      <c r="F15" s="518" t="s">
        <v>187</v>
      </c>
      <c r="G15" s="132" t="s">
        <v>187</v>
      </c>
      <c r="H15" s="518">
        <f>보고서3!G109</f>
        <v>47.6</v>
      </c>
      <c r="I15" s="519">
        <f>보고서3!G79</f>
        <v>405.22222222222223</v>
      </c>
      <c r="J15" s="518">
        <f>보고서3!G87</f>
        <v>1.4401197604790419</v>
      </c>
      <c r="K15" s="519">
        <f>보고서3!G83</f>
        <v>839.77777777777783</v>
      </c>
      <c r="L15" s="518">
        <f>보고서3!G91</f>
        <v>1.3019125683060109</v>
      </c>
    </row>
    <row r="16" spans="2:14" ht="20.100000000000001" customHeight="1">
      <c r="B16" s="865"/>
      <c r="C16" s="528" t="str">
        <f>보고서3!B24</f>
        <v>4층 1-7반</v>
      </c>
      <c r="D16" s="518" t="s">
        <v>187</v>
      </c>
      <c r="E16" s="518" t="s">
        <v>187</v>
      </c>
      <c r="F16" s="518" t="s">
        <v>187</v>
      </c>
      <c r="G16" s="33" t="s">
        <v>187</v>
      </c>
      <c r="H16" s="518">
        <f>보고서3!G110</f>
        <v>48.95</v>
      </c>
      <c r="I16" s="519">
        <f>보고서3!G80</f>
        <v>504.55555555555554</v>
      </c>
      <c r="J16" s="518">
        <f>보고서3!G88</f>
        <v>1.3302107728337236</v>
      </c>
      <c r="K16" s="519">
        <f>보고서3!G84</f>
        <v>773.55555555555554</v>
      </c>
      <c r="L16" s="518">
        <f>보고서3!G92</f>
        <v>1.3004354136429608</v>
      </c>
      <c r="N16" s="144"/>
    </row>
    <row r="17" spans="2:14" ht="20.100000000000001" customHeight="1">
      <c r="B17" s="866"/>
      <c r="C17" s="528" t="str">
        <f>보고서3!B25</f>
        <v>2층 (도제)세무실무실습실</v>
      </c>
      <c r="D17" s="518" t="s">
        <v>187</v>
      </c>
      <c r="E17" s="518" t="s">
        <v>187</v>
      </c>
      <c r="F17" s="133" t="s">
        <v>187</v>
      </c>
      <c r="G17" s="35" t="s">
        <v>187</v>
      </c>
      <c r="H17" s="518">
        <f>보고서3!G111</f>
        <v>50.5</v>
      </c>
      <c r="I17" s="519">
        <f>보고서3!G81</f>
        <v>745.33333333333337</v>
      </c>
      <c r="J17" s="518">
        <f>보고서3!G89</f>
        <v>1.4591503267973855</v>
      </c>
      <c r="K17" s="519">
        <f>보고서3!G85</f>
        <v>720.11111111111109</v>
      </c>
      <c r="L17" s="518">
        <f>보고서3!G93</f>
        <v>1.3582554517133956</v>
      </c>
      <c r="N17" s="144"/>
    </row>
    <row r="18" spans="2:14" ht="20.100000000000001" customHeight="1">
      <c r="B18" s="865"/>
      <c r="C18" s="528" t="str">
        <f>보고서3!B26</f>
        <v>-</v>
      </c>
      <c r="D18" s="518" t="s">
        <v>187</v>
      </c>
      <c r="E18" s="518" t="s">
        <v>187</v>
      </c>
      <c r="F18" s="133" t="s">
        <v>187</v>
      </c>
      <c r="G18" s="35" t="s">
        <v>187</v>
      </c>
      <c r="H18" s="518" t="str">
        <f>보고서3!G112</f>
        <v>-</v>
      </c>
      <c r="I18" s="519" t="str">
        <f>보고서3!G82</f>
        <v>-</v>
      </c>
      <c r="J18" s="518" t="str">
        <f>보고서3!G90</f>
        <v>-</v>
      </c>
      <c r="K18" s="519" t="str">
        <f>보고서3!G86</f>
        <v>-</v>
      </c>
      <c r="L18" s="518" t="str">
        <f>보고서3!G94</f>
        <v>-</v>
      </c>
      <c r="N18" s="144"/>
    </row>
    <row r="19" spans="2:14" ht="20.100000000000001" customHeight="1">
      <c r="B19" s="866"/>
      <c r="C19" s="529" t="str">
        <f>보고서3!B53</f>
        <v>교무실</v>
      </c>
      <c r="D19" s="133" t="s">
        <v>187</v>
      </c>
      <c r="E19" s="133" t="s">
        <v>187</v>
      </c>
      <c r="F19" s="133" t="s">
        <v>187</v>
      </c>
      <c r="G19" s="135">
        <f>보고서3!G53</f>
        <v>1.1666666666666667E-2</v>
      </c>
      <c r="H19" s="35" t="s">
        <v>187</v>
      </c>
      <c r="I19" s="133" t="s">
        <v>187</v>
      </c>
      <c r="J19" s="134" t="s">
        <v>187</v>
      </c>
      <c r="K19" s="133" t="s">
        <v>187</v>
      </c>
      <c r="L19" s="134" t="s">
        <v>187</v>
      </c>
      <c r="N19" s="144"/>
    </row>
    <row r="20" spans="2:14" ht="20.100000000000001" customHeight="1">
      <c r="B20" s="866"/>
      <c r="C20" s="32" t="s">
        <v>75</v>
      </c>
      <c r="D20" s="869" t="s">
        <v>66</v>
      </c>
      <c r="E20" s="870"/>
      <c r="F20" s="870"/>
      <c r="G20" s="870"/>
      <c r="H20" s="870"/>
      <c r="I20" s="870"/>
      <c r="J20" s="870"/>
      <c r="K20" s="870"/>
      <c r="L20" s="871"/>
      <c r="N20" s="144"/>
    </row>
    <row r="21" spans="2:14" ht="20.100000000000001" customHeight="1">
      <c r="B21" s="867"/>
      <c r="C21" s="32" t="s">
        <v>18</v>
      </c>
      <c r="D21" s="872" t="str">
        <f>'입력1(학교시설명 등 기본사항 입력) 보고서1,2'!C13</f>
        <v>2026.06.10</v>
      </c>
      <c r="E21" s="870"/>
      <c r="F21" s="870"/>
      <c r="G21" s="873" t="s">
        <v>34</v>
      </c>
      <c r="H21" s="874"/>
      <c r="I21" s="875"/>
      <c r="J21" s="876" t="s">
        <v>375</v>
      </c>
      <c r="K21" s="877"/>
      <c r="L21" s="878"/>
    </row>
    <row r="22" spans="2:14" ht="42" customHeight="1">
      <c r="B22" s="858" t="s">
        <v>421</v>
      </c>
      <c r="C22" s="32" t="s">
        <v>33</v>
      </c>
      <c r="D22" s="32" t="s">
        <v>104</v>
      </c>
      <c r="E22" s="32" t="s">
        <v>335</v>
      </c>
      <c r="F22" s="32" t="s">
        <v>366</v>
      </c>
      <c r="G22" s="32" t="s">
        <v>376</v>
      </c>
      <c r="H22" s="32" t="s">
        <v>391</v>
      </c>
      <c r="I22" s="32" t="s">
        <v>466</v>
      </c>
      <c r="J22" s="32" t="s">
        <v>345</v>
      </c>
      <c r="K22" s="32" t="s">
        <v>304</v>
      </c>
      <c r="L22" s="32" t="s">
        <v>348</v>
      </c>
    </row>
    <row r="23" spans="2:14" ht="20.100000000000001" customHeight="1">
      <c r="B23" s="858"/>
      <c r="C23" s="530" t="str">
        <f>보고서3!B5</f>
        <v>5층 2-11반</v>
      </c>
      <c r="D23" s="35" t="str">
        <f>보고서3!C5</f>
        <v>14:02 ~ 14:12</v>
      </c>
      <c r="E23" s="498">
        <f>보고서3!G5</f>
        <v>11.8</v>
      </c>
      <c r="F23" s="498" t="s">
        <v>187</v>
      </c>
      <c r="G23" s="498">
        <f>보고서3!G12</f>
        <v>10.8</v>
      </c>
      <c r="H23" s="498">
        <f>보고서3!G17</f>
        <v>814.66666666666663</v>
      </c>
      <c r="I23" s="498">
        <f>보고서3!G39</f>
        <v>1.9166666666666667</v>
      </c>
      <c r="J23" s="135">
        <f>보고서3!G42</f>
        <v>0.02</v>
      </c>
      <c r="K23" s="520">
        <f>보고서3!G31</f>
        <v>80.852562902751416</v>
      </c>
      <c r="L23" s="133" t="s">
        <v>187</v>
      </c>
    </row>
    <row r="24" spans="2:14" ht="20.100000000000001" customHeight="1">
      <c r="B24" s="858"/>
      <c r="C24" s="530" t="str">
        <f>보고서3!B6</f>
        <v>4층 2-4반</v>
      </c>
      <c r="D24" s="35" t="str">
        <f>보고서3!C6</f>
        <v>14:13 ~ 14:23</v>
      </c>
      <c r="E24" s="498">
        <f>보고서3!G6</f>
        <v>16.8</v>
      </c>
      <c r="F24" s="498" t="s">
        <v>187</v>
      </c>
      <c r="G24" s="498">
        <f>보고서3!G13</f>
        <v>15.8</v>
      </c>
      <c r="H24" s="498">
        <f>보고서3!G18</f>
        <v>808.33333333333337</v>
      </c>
      <c r="I24" s="498" t="s">
        <v>187</v>
      </c>
      <c r="J24" s="134" t="s">
        <v>187</v>
      </c>
      <c r="K24" s="520">
        <f>보고서3!G32</f>
        <v>242.16029462572683</v>
      </c>
      <c r="L24" s="133" t="s">
        <v>187</v>
      </c>
    </row>
    <row r="25" spans="2:14" ht="20.100000000000001" customHeight="1">
      <c r="B25" s="858"/>
      <c r="C25" s="530" t="str">
        <f>보고서3!B7</f>
        <v>1층 (도제)회계실무실습실</v>
      </c>
      <c r="D25" s="35" t="str">
        <f>보고서3!C7</f>
        <v>15:00 ~ 15:10</v>
      </c>
      <c r="E25" s="498">
        <f>보고서3!G7</f>
        <v>14.2</v>
      </c>
      <c r="F25" s="498" t="s">
        <v>187</v>
      </c>
      <c r="G25" s="498">
        <f>보고서3!G14</f>
        <v>13.2</v>
      </c>
      <c r="H25" s="498">
        <f>보고서3!G19</f>
        <v>740</v>
      </c>
      <c r="I25" s="498" t="s">
        <v>187</v>
      </c>
      <c r="J25" s="134" t="s">
        <v>187</v>
      </c>
      <c r="K25" s="520">
        <f>보고서3!G33</f>
        <v>30.304173117377232</v>
      </c>
      <c r="L25" s="133" t="s">
        <v>187</v>
      </c>
    </row>
    <row r="26" spans="2:14" ht="20.100000000000001" customHeight="1">
      <c r="B26" s="858"/>
      <c r="C26" s="530" t="str">
        <f>보고서3!B8</f>
        <v>-</v>
      </c>
      <c r="D26" s="35" t="str">
        <f>보고서3!C8</f>
        <v>-</v>
      </c>
      <c r="E26" s="498" t="str">
        <f>보고서3!G8</f>
        <v>-</v>
      </c>
      <c r="F26" s="498" t="s">
        <v>187</v>
      </c>
      <c r="G26" s="498" t="str">
        <f>보고서3!G15</f>
        <v>-</v>
      </c>
      <c r="H26" s="498" t="str">
        <f>보고서3!G20</f>
        <v>-</v>
      </c>
      <c r="I26" s="498" t="s">
        <v>187</v>
      </c>
      <c r="J26" s="35" t="s">
        <v>187</v>
      </c>
      <c r="K26" s="520" t="str">
        <f>보고서3!G34</f>
        <v>-</v>
      </c>
      <c r="L26" s="133" t="s">
        <v>187</v>
      </c>
    </row>
    <row r="27" spans="2:14" ht="16.350000000000001" customHeight="1">
      <c r="B27" s="858"/>
      <c r="C27" s="530" t="str">
        <f>보고서3!B10</f>
        <v>체육관</v>
      </c>
      <c r="D27" s="35" t="str">
        <f>보고서3!C10</f>
        <v>13:38 ~ 13:48</v>
      </c>
      <c r="E27" s="498" t="s">
        <v>187</v>
      </c>
      <c r="F27" s="498">
        <f>보고서3!G10</f>
        <v>24.9</v>
      </c>
      <c r="G27" s="498" t="s">
        <v>187</v>
      </c>
      <c r="H27" s="498" t="s">
        <v>187</v>
      </c>
      <c r="I27" s="498" t="s">
        <v>187</v>
      </c>
      <c r="J27" s="35" t="s">
        <v>187</v>
      </c>
      <c r="K27" s="35" t="s">
        <v>187</v>
      </c>
      <c r="L27" s="133" t="s">
        <v>187</v>
      </c>
    </row>
    <row r="28" spans="2:14" ht="20.100000000000001" customHeight="1">
      <c r="B28" s="858"/>
      <c r="C28" s="530" t="str">
        <f>보고서3!B11</f>
        <v>-</v>
      </c>
      <c r="D28" s="35" t="str">
        <f>보고서3!C11</f>
        <v>-</v>
      </c>
      <c r="E28" s="498" t="s">
        <v>187</v>
      </c>
      <c r="F28" s="498" t="str">
        <f>보고서3!G11</f>
        <v>-</v>
      </c>
      <c r="G28" s="498" t="s">
        <v>187</v>
      </c>
      <c r="H28" s="498" t="s">
        <v>187</v>
      </c>
      <c r="I28" s="498" t="s">
        <v>187</v>
      </c>
      <c r="J28" s="35" t="s">
        <v>187</v>
      </c>
      <c r="K28" s="35" t="s">
        <v>187</v>
      </c>
      <c r="L28" s="133" t="s">
        <v>187</v>
      </c>
    </row>
    <row r="29" spans="2:14" ht="16.350000000000001" customHeight="1">
      <c r="B29" s="858"/>
      <c r="C29" s="530" t="str">
        <f>보고서3!B23</f>
        <v>5층 1-9반</v>
      </c>
      <c r="D29" s="35" t="str">
        <f>보고서3!C23</f>
        <v>13:03 ~ 13:13</v>
      </c>
      <c r="E29" s="498" t="s">
        <v>187</v>
      </c>
      <c r="F29" s="498" t="s">
        <v>187</v>
      </c>
      <c r="G29" s="498" t="s">
        <v>187</v>
      </c>
      <c r="H29" s="498" t="s">
        <v>187</v>
      </c>
      <c r="I29" s="498" t="s">
        <v>187</v>
      </c>
      <c r="J29" s="35" t="s">
        <v>187</v>
      </c>
      <c r="K29" s="35" t="s">
        <v>187</v>
      </c>
      <c r="L29" s="133">
        <f>보고서3!G23</f>
        <v>30.666666666666668</v>
      </c>
    </row>
    <row r="30" spans="2:14" ht="20.100000000000001" customHeight="1">
      <c r="B30" s="858"/>
      <c r="C30" s="530" t="str">
        <f>보고서3!B24</f>
        <v>4층 1-7반</v>
      </c>
      <c r="D30" s="35" t="str">
        <f>보고서3!C24</f>
        <v>13:15 ~ 13:25</v>
      </c>
      <c r="E30" s="498" t="s">
        <v>187</v>
      </c>
      <c r="F30" s="498" t="s">
        <v>187</v>
      </c>
      <c r="G30" s="498" t="s">
        <v>187</v>
      </c>
      <c r="H30" s="498" t="s">
        <v>187</v>
      </c>
      <c r="I30" s="498" t="s">
        <v>187</v>
      </c>
      <c r="J30" s="35" t="s">
        <v>187</v>
      </c>
      <c r="K30" s="35" t="s">
        <v>187</v>
      </c>
      <c r="L30" s="133">
        <f>보고서3!G24</f>
        <v>43</v>
      </c>
    </row>
    <row r="31" spans="2:14" ht="20.100000000000001" customHeight="1">
      <c r="B31" s="858"/>
      <c r="C31" s="530" t="str">
        <f>보고서3!B25</f>
        <v>2층 (도제)세무실무실습실</v>
      </c>
      <c r="D31" s="35" t="str">
        <f>보고서3!C25</f>
        <v>13:26 ~ 13:36</v>
      </c>
      <c r="E31" s="498" t="s">
        <v>187</v>
      </c>
      <c r="F31" s="498" t="s">
        <v>187</v>
      </c>
      <c r="G31" s="498" t="s">
        <v>187</v>
      </c>
      <c r="H31" s="498" t="s">
        <v>187</v>
      </c>
      <c r="I31" s="498" t="s">
        <v>187</v>
      </c>
      <c r="J31" s="35" t="s">
        <v>187</v>
      </c>
      <c r="K31" s="35" t="s">
        <v>187</v>
      </c>
      <c r="L31" s="133">
        <f>보고서3!G25</f>
        <v>34</v>
      </c>
    </row>
    <row r="32" spans="2:14" ht="20.100000000000001" customHeight="1">
      <c r="B32" s="858"/>
      <c r="C32" s="530" t="str">
        <f>보고서3!B26</f>
        <v>-</v>
      </c>
      <c r="D32" s="35" t="str">
        <f>보고서3!C26</f>
        <v>-</v>
      </c>
      <c r="E32" s="498" t="s">
        <v>187</v>
      </c>
      <c r="F32" s="498" t="s">
        <v>187</v>
      </c>
      <c r="G32" s="498" t="s">
        <v>187</v>
      </c>
      <c r="H32" s="498" t="s">
        <v>187</v>
      </c>
      <c r="I32" s="498" t="s">
        <v>187</v>
      </c>
      <c r="J32" s="35" t="s">
        <v>187</v>
      </c>
      <c r="K32" s="35" t="s">
        <v>187</v>
      </c>
      <c r="L32" s="133" t="str">
        <f>보고서3!G26</f>
        <v>-</v>
      </c>
    </row>
    <row r="33" spans="2:12" ht="20.25" customHeight="1">
      <c r="B33" s="858"/>
      <c r="C33" s="530" t="str">
        <f>보고서3!B9</f>
        <v>급식시설</v>
      </c>
      <c r="D33" s="35" t="str">
        <f>보고서3!C9</f>
        <v>14:46 ~ 14:56</v>
      </c>
      <c r="E33" s="524">
        <f>보고서3!G9</f>
        <v>15.8</v>
      </c>
      <c r="F33" s="524" t="s">
        <v>187</v>
      </c>
      <c r="G33" s="524">
        <f>보고서3!G16</f>
        <v>14.8</v>
      </c>
      <c r="H33" s="524">
        <f>보고서3!G21</f>
        <v>565.66666666666663</v>
      </c>
      <c r="I33" s="498" t="s">
        <v>187</v>
      </c>
      <c r="J33" s="35" t="s">
        <v>187</v>
      </c>
      <c r="K33" s="35" t="s">
        <v>187</v>
      </c>
      <c r="L33" s="133">
        <f>보고서3!G27</f>
        <v>60.666666666666664</v>
      </c>
    </row>
    <row r="34" spans="2:12" ht="33.950000000000003" customHeight="1">
      <c r="B34" s="858"/>
      <c r="C34" s="32" t="s">
        <v>33</v>
      </c>
      <c r="D34" s="32" t="s">
        <v>104</v>
      </c>
      <c r="E34" s="32" t="s">
        <v>350</v>
      </c>
      <c r="F34" s="32" t="s">
        <v>368</v>
      </c>
      <c r="G34" s="879" t="s">
        <v>354</v>
      </c>
      <c r="H34" s="880"/>
      <c r="I34" s="879" t="s">
        <v>377</v>
      </c>
      <c r="J34" s="880"/>
      <c r="K34" s="879" t="s">
        <v>187</v>
      </c>
      <c r="L34" s="880"/>
    </row>
    <row r="35" spans="2:12" ht="20.100000000000001" customHeight="1">
      <c r="B35" s="858"/>
      <c r="C35" s="130" t="str">
        <f>보고서3!B35</f>
        <v>급식시설</v>
      </c>
      <c r="D35" s="130" t="str">
        <f>보고서3!C35</f>
        <v>14:46 ~ 14:56</v>
      </c>
      <c r="E35" s="520">
        <f>보고서3!G35</f>
        <v>0</v>
      </c>
      <c r="F35" s="35" t="s">
        <v>187</v>
      </c>
      <c r="G35" s="881" t="s">
        <v>187</v>
      </c>
      <c r="H35" s="882"/>
      <c r="I35" s="883">
        <f>'입력2(측정)'!E57</f>
        <v>0</v>
      </c>
      <c r="J35" s="871"/>
      <c r="K35" s="869" t="s">
        <v>187</v>
      </c>
      <c r="L35" s="871"/>
    </row>
    <row r="36" spans="2:12" ht="20.100000000000001" customHeight="1">
      <c r="B36" s="858"/>
      <c r="C36" s="854" t="str">
        <f>보고서3!B36</f>
        <v>보건실</v>
      </c>
      <c r="D36" s="35" t="str">
        <f>보고서3!C36</f>
        <v>13:49 ~ 13:59</v>
      </c>
      <c r="E36" s="520">
        <f>보고서3!G36</f>
        <v>0.66666666666666663</v>
      </c>
      <c r="F36" s="133" t="str">
        <f>보고서3!G56</f>
        <v>20이하</v>
      </c>
      <c r="G36" s="859" t="s">
        <v>187</v>
      </c>
      <c r="H36" s="861"/>
      <c r="I36" s="883">
        <f>'입력2(측정)'!E58</f>
        <v>0</v>
      </c>
      <c r="J36" s="871"/>
      <c r="K36" s="869" t="s">
        <v>187</v>
      </c>
      <c r="L36" s="871"/>
    </row>
    <row r="37" spans="2:12" ht="20.100000000000001" customHeight="1">
      <c r="B37" s="858"/>
      <c r="C37" s="855"/>
      <c r="D37" s="530" t="str">
        <f>보고서3!C45</f>
        <v>2026-03-30~
2026-06-29</v>
      </c>
      <c r="E37" s="35" t="s">
        <v>187</v>
      </c>
      <c r="F37" s="35" t="s">
        <v>187</v>
      </c>
      <c r="G37" s="884" t="str">
        <f>보고서3!G45</f>
        <v>-</v>
      </c>
      <c r="H37" s="885"/>
      <c r="I37" s="883" t="str">
        <f>보고서3!G47</f>
        <v>-</v>
      </c>
      <c r="J37" s="871"/>
      <c r="K37" s="869" t="s">
        <v>187</v>
      </c>
      <c r="L37" s="871"/>
    </row>
    <row r="38" spans="2:12" ht="20.100000000000001" customHeight="1">
      <c r="B38" s="858"/>
      <c r="C38" s="35" t="str">
        <f>보고서3!B48</f>
        <v>-</v>
      </c>
      <c r="D38" s="35" t="str">
        <f>보고서3!C48</f>
        <v>-</v>
      </c>
      <c r="E38" s="523" t="s">
        <v>187</v>
      </c>
      <c r="F38" s="523" t="s">
        <v>187</v>
      </c>
      <c r="G38" s="869" t="s">
        <v>187</v>
      </c>
      <c r="H38" s="871"/>
      <c r="I38" s="883" t="str">
        <f>보고서3!G48</f>
        <v>-</v>
      </c>
      <c r="J38" s="871"/>
      <c r="K38" s="869" t="s">
        <v>187</v>
      </c>
      <c r="L38" s="871"/>
    </row>
    <row r="39" spans="2:12" ht="20.100000000000001" customHeight="1">
      <c r="B39" s="858"/>
      <c r="C39" s="35" t="str">
        <f>보고서3!B49</f>
        <v>-</v>
      </c>
      <c r="D39" s="35" t="str">
        <f>보고서3!C49</f>
        <v>-</v>
      </c>
      <c r="E39" s="523" t="s">
        <v>187</v>
      </c>
      <c r="F39" s="523" t="s">
        <v>187</v>
      </c>
      <c r="G39" s="869" t="s">
        <v>187</v>
      </c>
      <c r="H39" s="871"/>
      <c r="I39" s="883" t="str">
        <f>보고서3!G49</f>
        <v>-</v>
      </c>
      <c r="J39" s="871"/>
      <c r="K39" s="869" t="s">
        <v>187</v>
      </c>
      <c r="L39" s="871"/>
    </row>
    <row r="40" spans="2:12">
      <c r="B40" s="858"/>
      <c r="C40" s="35" t="str">
        <f>보고서3!B50</f>
        <v>-</v>
      </c>
      <c r="D40" s="35" t="str">
        <f>보고서3!C50</f>
        <v>-</v>
      </c>
      <c r="E40" s="523" t="s">
        <v>187</v>
      </c>
      <c r="F40" s="523" t="s">
        <v>187</v>
      </c>
      <c r="G40" s="869" t="s">
        <v>187</v>
      </c>
      <c r="H40" s="871"/>
      <c r="I40" s="883" t="str">
        <f>보고서3!G50</f>
        <v>-</v>
      </c>
      <c r="J40" s="871"/>
      <c r="K40" s="869" t="s">
        <v>187</v>
      </c>
      <c r="L40" s="871"/>
    </row>
    <row r="41" spans="2:12" ht="33.950000000000003" customHeight="1">
      <c r="B41" s="858"/>
      <c r="C41" s="525" t="s">
        <v>33</v>
      </c>
      <c r="D41" s="525" t="s">
        <v>104</v>
      </c>
      <c r="E41" s="525" t="s">
        <v>348</v>
      </c>
      <c r="F41" s="525" t="s">
        <v>362</v>
      </c>
      <c r="G41" s="525" t="s">
        <v>431</v>
      </c>
      <c r="H41" s="525" t="s">
        <v>360</v>
      </c>
      <c r="I41" s="525" t="s">
        <v>381</v>
      </c>
      <c r="J41" s="525" t="s">
        <v>340</v>
      </c>
      <c r="K41" s="525" t="s">
        <v>356</v>
      </c>
      <c r="L41" s="526" t="s">
        <v>187</v>
      </c>
    </row>
    <row r="42" spans="2:12" ht="20.100000000000001" customHeight="1">
      <c r="B42" s="858"/>
      <c r="C42" s="131" t="str">
        <f>보고서3!B57</f>
        <v>1층 1-12반</v>
      </c>
      <c r="D42" s="131" t="str">
        <f>보고서3!C57</f>
        <v>13:12 ~ 14:12</v>
      </c>
      <c r="E42" s="498">
        <f>보고서3!G28</f>
        <v>15.546023405805954</v>
      </c>
      <c r="F42" s="498">
        <f>보고서3!G57</f>
        <v>129.18057171024248</v>
      </c>
      <c r="G42" s="498">
        <f>보고서3!G60</f>
        <v>24.476551781503069</v>
      </c>
      <c r="H42" s="498">
        <f>보고서3!G63</f>
        <v>11.686392619913804</v>
      </c>
      <c r="I42" s="498">
        <f>보고서3!G66</f>
        <v>4.2181880126632887</v>
      </c>
      <c r="J42" s="498">
        <f>보고서3!G69</f>
        <v>8.1464482390363067</v>
      </c>
      <c r="K42" s="521">
        <f>보고서3!G72</f>
        <v>1.2080028324026371</v>
      </c>
      <c r="L42" s="142" t="s">
        <v>187</v>
      </c>
    </row>
    <row r="43" spans="2:12" ht="20.100000000000001" customHeight="1">
      <c r="B43" s="858"/>
      <c r="C43" s="131" t="str">
        <f>보고서3!B58</f>
        <v>2층 2-12반</v>
      </c>
      <c r="D43" s="131" t="str">
        <f>보고서3!C58</f>
        <v>14:05 ~ 15:05</v>
      </c>
      <c r="E43" s="498">
        <f>보고서3!G29</f>
        <v>8.6318761056448263</v>
      </c>
      <c r="F43" s="498">
        <f>보고서3!G58</f>
        <v>120.34234208663315</v>
      </c>
      <c r="G43" s="498">
        <f>보고서3!G61</f>
        <v>23.064909047826983</v>
      </c>
      <c r="H43" s="498">
        <f>보고서3!G64</f>
        <v>7.7159295358813278</v>
      </c>
      <c r="I43" s="498">
        <f>보고서3!G67</f>
        <v>2.8367317174764084</v>
      </c>
      <c r="J43" s="498">
        <f>보고서3!G70</f>
        <v>6.450547730117564</v>
      </c>
      <c r="K43" s="521">
        <f>보고서3!G73</f>
        <v>0.75951169616219749</v>
      </c>
      <c r="L43" s="142" t="s">
        <v>187</v>
      </c>
    </row>
    <row r="44" spans="2:12" ht="20.100000000000001" customHeight="1">
      <c r="B44" s="858"/>
      <c r="C44" s="131" t="str">
        <f>보고서3!B59</f>
        <v>1층 스포티존</v>
      </c>
      <c r="D44" s="131" t="str">
        <f>보고서3!C59</f>
        <v>13:00 ~ 14:00</v>
      </c>
      <c r="E44" s="498">
        <f>보고서3!G30</f>
        <v>27.402315825116244</v>
      </c>
      <c r="F44" s="498">
        <f>보고서3!G59</f>
        <v>153.0629258852604</v>
      </c>
      <c r="G44" s="498">
        <f>보고서3!G62</f>
        <v>22.252710538309486</v>
      </c>
      <c r="H44" s="498">
        <f>보고서3!G65</f>
        <v>19.664831736871573</v>
      </c>
      <c r="I44" s="498">
        <f>보고서3!G68</f>
        <v>4.6201180895588791</v>
      </c>
      <c r="J44" s="498">
        <f>보고서3!G71</f>
        <v>10.245705780340584</v>
      </c>
      <c r="K44" s="521">
        <f>보고서3!G74</f>
        <v>0.97060461499132455</v>
      </c>
      <c r="L44" s="142" t="s">
        <v>187</v>
      </c>
    </row>
    <row r="45" spans="2:12" ht="20.100000000000001" customHeight="1">
      <c r="B45" s="858"/>
      <c r="C45" s="32" t="s">
        <v>129</v>
      </c>
      <c r="D45" s="862" t="s">
        <v>502</v>
      </c>
      <c r="E45" s="862"/>
      <c r="F45" s="862"/>
      <c r="G45" s="862"/>
      <c r="H45" s="903" t="s">
        <v>273</v>
      </c>
      <c r="I45" s="903" t="s">
        <v>273</v>
      </c>
      <c r="J45" s="876" t="s">
        <v>320</v>
      </c>
      <c r="K45" s="877"/>
      <c r="L45" s="878"/>
    </row>
    <row r="46" spans="2:12" ht="20.100000000000001" customHeight="1">
      <c r="B46" s="879" t="s">
        <v>163</v>
      </c>
      <c r="C46" s="880"/>
      <c r="D46" s="892" t="s">
        <v>455</v>
      </c>
      <c r="E46" s="892"/>
      <c r="F46" s="892"/>
      <c r="G46" s="892"/>
      <c r="H46" s="892"/>
      <c r="I46" s="892"/>
      <c r="J46" s="892"/>
      <c r="K46" s="892"/>
      <c r="L46" s="893"/>
    </row>
    <row r="47" spans="2:12" ht="21.95" customHeight="1">
      <c r="B47" s="894" t="s">
        <v>6</v>
      </c>
      <c r="C47" s="895"/>
      <c r="D47" s="895"/>
      <c r="E47" s="895"/>
      <c r="F47" s="895"/>
      <c r="G47" s="895"/>
      <c r="H47" s="895"/>
      <c r="I47" s="895"/>
      <c r="J47" s="895"/>
      <c r="K47" s="895"/>
      <c r="L47" s="896"/>
    </row>
    <row r="48" spans="2:12">
      <c r="B48" s="897"/>
      <c r="C48" s="898"/>
      <c r="D48" s="898"/>
      <c r="E48" s="898"/>
      <c r="F48" s="898"/>
      <c r="G48" s="898"/>
      <c r="H48" s="898"/>
      <c r="I48" s="898"/>
      <c r="J48" s="898"/>
      <c r="K48" s="898"/>
      <c r="L48" s="899"/>
    </row>
    <row r="49" spans="2:12" ht="20.100000000000001" customHeight="1">
      <c r="B49" s="900" t="s">
        <v>4</v>
      </c>
      <c r="C49" s="901"/>
      <c r="D49" s="901"/>
      <c r="E49" s="901"/>
      <c r="F49" s="901"/>
      <c r="G49" s="901"/>
      <c r="H49" s="901"/>
      <c r="I49" s="901"/>
      <c r="J49" s="901"/>
      <c r="K49" s="901"/>
      <c r="L49" s="902"/>
    </row>
    <row r="50" spans="2:12" ht="86.25" customHeight="1">
      <c r="B50" s="886" t="s">
        <v>322</v>
      </c>
      <c r="C50" s="887"/>
      <c r="D50" s="887"/>
      <c r="E50" s="887"/>
      <c r="F50" s="887"/>
      <c r="G50" s="887"/>
      <c r="H50" s="887"/>
      <c r="I50" s="887"/>
      <c r="J50" s="887"/>
      <c r="K50" s="887"/>
      <c r="L50" s="888"/>
    </row>
    <row r="51" spans="2:12" ht="21.95" customHeight="1">
      <c r="B51" s="889"/>
      <c r="C51" s="890"/>
      <c r="D51" s="890"/>
      <c r="E51" s="890"/>
      <c r="F51" s="890"/>
      <c r="G51" s="890"/>
      <c r="H51" s="890"/>
      <c r="I51" s="890"/>
      <c r="J51" s="890"/>
      <c r="K51" s="890"/>
      <c r="L51" s="891"/>
    </row>
  </sheetData>
  <mergeCells count="57">
    <mergeCell ref="G40:H40"/>
    <mergeCell ref="I40:J40"/>
    <mergeCell ref="K40:L40"/>
    <mergeCell ref="D45:G45"/>
    <mergeCell ref="H45:I45"/>
    <mergeCell ref="J45:L45"/>
    <mergeCell ref="B50:L50"/>
    <mergeCell ref="B51:L51"/>
    <mergeCell ref="B46:C46"/>
    <mergeCell ref="D46:L46"/>
    <mergeCell ref="B47:L47"/>
    <mergeCell ref="B48:L48"/>
    <mergeCell ref="B49:L49"/>
    <mergeCell ref="K37:L37"/>
    <mergeCell ref="G38:H38"/>
    <mergeCell ref="I38:J38"/>
    <mergeCell ref="K38:L38"/>
    <mergeCell ref="I39:J39"/>
    <mergeCell ref="G39:H39"/>
    <mergeCell ref="K39:L39"/>
    <mergeCell ref="D20:L20"/>
    <mergeCell ref="D21:F21"/>
    <mergeCell ref="G21:I21"/>
    <mergeCell ref="J21:L21"/>
    <mergeCell ref="B22:B45"/>
    <mergeCell ref="G34:H34"/>
    <mergeCell ref="I34:J34"/>
    <mergeCell ref="K34:L34"/>
    <mergeCell ref="G35:H35"/>
    <mergeCell ref="I35:J35"/>
    <mergeCell ref="K35:L35"/>
    <mergeCell ref="G36:H36"/>
    <mergeCell ref="I36:J36"/>
    <mergeCell ref="K36:L36"/>
    <mergeCell ref="G37:H37"/>
    <mergeCell ref="I37:J37"/>
    <mergeCell ref="E8:E9"/>
    <mergeCell ref="F8:F9"/>
    <mergeCell ref="G8:G9"/>
    <mergeCell ref="H8:H9"/>
    <mergeCell ref="I8:L8"/>
    <mergeCell ref="C36:C37"/>
    <mergeCell ref="B2:L2"/>
    <mergeCell ref="B3:L3"/>
    <mergeCell ref="B4:B7"/>
    <mergeCell ref="D4:F4"/>
    <mergeCell ref="G4:G7"/>
    <mergeCell ref="I4:L4"/>
    <mergeCell ref="D5:F5"/>
    <mergeCell ref="I5:L5"/>
    <mergeCell ref="D6:F6"/>
    <mergeCell ref="I6:L6"/>
    <mergeCell ref="D7:F7"/>
    <mergeCell ref="I7:L7"/>
    <mergeCell ref="B8:B21"/>
    <mergeCell ref="C8:C9"/>
    <mergeCell ref="D8:D9"/>
  </mergeCells>
  <phoneticPr fontId="37" type="noConversion"/>
  <pageMargins left="0.20000000298023224" right="0.20000000298023224" top="0.30000001192092896" bottom="0.30000001192092896" header="0.5" footer="0.5"/>
  <pageSetup paperSize="9" scale="64" orientation="portrait" r:id="rId1"/>
  <rowBreaks count="1" manualBreakCount="1">
    <brk id="52" max="1048575" man="1"/>
  </rowBreaks>
  <colBreaks count="1" manualBreakCount="1">
    <brk id="12" max="16383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0070C0"/>
  </sheetPr>
  <dimension ref="A1:J43"/>
  <sheetViews>
    <sheetView view="pageBreakPreview" zoomScaleNormal="100" zoomScaleSheetLayoutView="100" workbookViewId="0">
      <selection activeCell="D7" sqref="D7"/>
    </sheetView>
  </sheetViews>
  <sheetFormatPr defaultColWidth="9" defaultRowHeight="16.5"/>
  <cols>
    <col min="1" max="1" width="16.625" customWidth="1"/>
    <col min="2" max="2" width="17.875" customWidth="1"/>
    <col min="3" max="3" width="16.625" customWidth="1"/>
    <col min="4" max="4" width="9.625" customWidth="1"/>
    <col min="5" max="6" width="16.625" customWidth="1"/>
    <col min="9" max="9" width="17.125" customWidth="1"/>
  </cols>
  <sheetData>
    <row r="1" spans="1:9" ht="6" customHeight="1">
      <c r="A1" s="506"/>
      <c r="B1" s="507"/>
      <c r="C1" s="507"/>
      <c r="D1" s="507"/>
      <c r="E1" s="507"/>
      <c r="F1" s="508"/>
    </row>
    <row r="2" spans="1:9" ht="6" customHeight="1">
      <c r="A2" s="509"/>
      <c r="F2" s="275"/>
    </row>
    <row r="3" spans="1:9" ht="34.5" customHeight="1">
      <c r="A3" s="904" t="s">
        <v>439</v>
      </c>
      <c r="B3" s="905"/>
      <c r="C3" s="905"/>
      <c r="D3" s="906"/>
      <c r="E3" s="905"/>
      <c r="F3" s="907"/>
    </row>
    <row r="4" spans="1:9" ht="34.5" customHeight="1">
      <c r="A4" s="908" t="s">
        <v>56</v>
      </c>
      <c r="B4" s="909"/>
      <c r="C4" s="910" t="str">
        <f>'입력1(학교시설명 등 기본사항 입력) 보고서1,2'!C13</f>
        <v>2026.06.10</v>
      </c>
      <c r="D4" s="910"/>
      <c r="E4" s="910"/>
      <c r="F4" s="911"/>
      <c r="H4" s="1" t="s">
        <v>68</v>
      </c>
      <c r="I4" s="1" t="s">
        <v>165</v>
      </c>
    </row>
    <row r="5" spans="1:9" ht="34.5" customHeight="1">
      <c r="A5" s="908" t="s">
        <v>451</v>
      </c>
      <c r="B5" s="909"/>
      <c r="C5" s="909" t="str">
        <f>'입력1(학교시설명 등 기본사항 입력) 보고서1,2'!C2</f>
        <v>평촌경영고등학교</v>
      </c>
      <c r="D5" s="909"/>
      <c r="E5" s="909"/>
      <c r="F5" s="912"/>
      <c r="H5" s="1" t="s">
        <v>258</v>
      </c>
      <c r="I5" s="1" t="s">
        <v>436</v>
      </c>
    </row>
    <row r="6" spans="1:9" ht="34.5" customHeight="1">
      <c r="A6" s="908" t="s">
        <v>107</v>
      </c>
      <c r="B6" s="909"/>
      <c r="C6" s="909" t="s">
        <v>297</v>
      </c>
      <c r="D6" s="909"/>
      <c r="E6" s="909"/>
      <c r="F6" s="912"/>
      <c r="H6" s="1" t="s">
        <v>30</v>
      </c>
      <c r="I6" s="1" t="s">
        <v>11</v>
      </c>
    </row>
    <row r="7" spans="1:9" ht="34.5" customHeight="1">
      <c r="A7" s="926" t="s">
        <v>449</v>
      </c>
      <c r="B7" s="98" t="s">
        <v>107</v>
      </c>
      <c r="C7" s="99" t="s">
        <v>213</v>
      </c>
      <c r="D7" s="100" t="s">
        <v>64</v>
      </c>
      <c r="E7" s="101" t="s">
        <v>21</v>
      </c>
      <c r="F7" s="510" t="s">
        <v>311</v>
      </c>
      <c r="G7" t="s">
        <v>21</v>
      </c>
      <c r="H7" s="1" t="s">
        <v>27</v>
      </c>
      <c r="I7" s="1" t="s">
        <v>37</v>
      </c>
    </row>
    <row r="8" spans="1:9" ht="20.100000000000001" customHeight="1">
      <c r="A8" s="927"/>
      <c r="B8" s="102" t="s">
        <v>165</v>
      </c>
      <c r="C8" s="99" t="str">
        <f>$C$5</f>
        <v>평촌경영고등학교</v>
      </c>
      <c r="D8" s="102" t="s">
        <v>68</v>
      </c>
      <c r="E8" s="101">
        <v>1</v>
      </c>
      <c r="F8" s="510"/>
      <c r="G8" t="str">
        <f>CONCATENATE(D8,"-",E8,"-",F8)</f>
        <v>HCHO-1-</v>
      </c>
      <c r="H8" s="1" t="s">
        <v>238</v>
      </c>
      <c r="I8" s="1" t="s">
        <v>217</v>
      </c>
    </row>
    <row r="9" spans="1:9" ht="20.100000000000001" customHeight="1">
      <c r="A9" s="927"/>
      <c r="B9" s="102" t="s">
        <v>165</v>
      </c>
      <c r="C9" s="99" t="str">
        <f t="shared" ref="C9:C33" si="0">$C$5</f>
        <v>평촌경영고등학교</v>
      </c>
      <c r="D9" s="102" t="s">
        <v>68</v>
      </c>
      <c r="E9" s="101">
        <v>2</v>
      </c>
      <c r="F9" s="510"/>
      <c r="G9" t="str">
        <f t="shared" ref="G9:G33" si="1">CONCATENATE(D9,"-",E9,"-",F9)</f>
        <v>HCHO-2-</v>
      </c>
      <c r="H9" s="1" t="s">
        <v>261</v>
      </c>
      <c r="I9" s="1" t="s">
        <v>35</v>
      </c>
    </row>
    <row r="10" spans="1:9" ht="20.100000000000001" customHeight="1">
      <c r="A10" s="927"/>
      <c r="B10" s="102" t="s">
        <v>165</v>
      </c>
      <c r="C10" s="99" t="str">
        <f t="shared" si="0"/>
        <v>평촌경영고등학교</v>
      </c>
      <c r="D10" s="102" t="s">
        <v>68</v>
      </c>
      <c r="E10" s="101">
        <v>3</v>
      </c>
      <c r="F10" s="510"/>
      <c r="G10" t="str">
        <f t="shared" si="1"/>
        <v>HCHO-3-</v>
      </c>
      <c r="H10" s="1" t="s">
        <v>264</v>
      </c>
      <c r="I10" s="1" t="s">
        <v>90</v>
      </c>
    </row>
    <row r="11" spans="1:9" ht="20.100000000000001" customHeight="1">
      <c r="A11" s="927"/>
      <c r="B11" s="102" t="s">
        <v>165</v>
      </c>
      <c r="C11" s="99" t="str">
        <f t="shared" si="0"/>
        <v>평촌경영고등학교</v>
      </c>
      <c r="D11" s="102" t="s">
        <v>68</v>
      </c>
      <c r="E11" s="101">
        <v>4</v>
      </c>
      <c r="F11" s="510"/>
      <c r="G11" t="str">
        <f t="shared" si="1"/>
        <v>HCHO-4-</v>
      </c>
      <c r="H11" s="1" t="s">
        <v>236</v>
      </c>
      <c r="I11" s="1" t="s">
        <v>192</v>
      </c>
    </row>
    <row r="12" spans="1:9" ht="20.100000000000001" customHeight="1">
      <c r="A12" s="927"/>
      <c r="B12" s="102" t="s">
        <v>165</v>
      </c>
      <c r="C12" s="99" t="str">
        <f t="shared" si="0"/>
        <v>평촌경영고등학교</v>
      </c>
      <c r="D12" s="102" t="s">
        <v>68</v>
      </c>
      <c r="E12" s="101">
        <v>5</v>
      </c>
      <c r="F12" s="510"/>
      <c r="G12" t="str">
        <f t="shared" si="1"/>
        <v>HCHO-5-</v>
      </c>
    </row>
    <row r="13" spans="1:9" ht="20.100000000000001" customHeight="1">
      <c r="A13" s="926"/>
      <c r="B13" s="102" t="s">
        <v>165</v>
      </c>
      <c r="C13" s="99" t="str">
        <f t="shared" si="0"/>
        <v>평촌경영고등학교</v>
      </c>
      <c r="D13" s="102" t="s">
        <v>68</v>
      </c>
      <c r="E13" s="101">
        <v>6</v>
      </c>
      <c r="F13" s="510"/>
      <c r="G13" t="str">
        <f t="shared" si="1"/>
        <v>HCHO-6-</v>
      </c>
    </row>
    <row r="14" spans="1:9" ht="20.100000000000001" customHeight="1">
      <c r="A14" s="926"/>
      <c r="B14" s="102" t="s">
        <v>436</v>
      </c>
      <c r="C14" s="99" t="str">
        <f t="shared" si="0"/>
        <v>평촌경영고등학교</v>
      </c>
      <c r="D14" s="102" t="s">
        <v>258</v>
      </c>
      <c r="E14" s="101">
        <v>1</v>
      </c>
      <c r="F14" s="510" t="s">
        <v>177</v>
      </c>
      <c r="G14" t="str">
        <f t="shared" si="1"/>
        <v>VOC-1-A10741</v>
      </c>
    </row>
    <row r="15" spans="1:9" ht="20.100000000000001" customHeight="1">
      <c r="A15" s="926"/>
      <c r="B15" s="102" t="s">
        <v>436</v>
      </c>
      <c r="C15" s="99" t="str">
        <f t="shared" si="0"/>
        <v>평촌경영고등학교</v>
      </c>
      <c r="D15" s="102" t="s">
        <v>258</v>
      </c>
      <c r="E15" s="101">
        <v>2</v>
      </c>
      <c r="F15" s="510" t="s">
        <v>169</v>
      </c>
      <c r="G15" t="str">
        <f t="shared" si="1"/>
        <v>VOC-2-A11429</v>
      </c>
    </row>
    <row r="16" spans="1:9" ht="20.100000000000001" customHeight="1">
      <c r="A16" s="926"/>
      <c r="B16" s="102" t="s">
        <v>436</v>
      </c>
      <c r="C16" s="99" t="str">
        <f t="shared" si="0"/>
        <v>평촌경영고등학교</v>
      </c>
      <c r="D16" s="102" t="s">
        <v>258</v>
      </c>
      <c r="E16" s="101">
        <v>3</v>
      </c>
      <c r="F16" s="510" t="s">
        <v>175</v>
      </c>
      <c r="G16" t="str">
        <f t="shared" si="1"/>
        <v>VOC-3-A11416</v>
      </c>
    </row>
    <row r="17" spans="1:10" ht="20.100000000000001" customHeight="1">
      <c r="A17" s="927"/>
      <c r="B17" s="102" t="s">
        <v>436</v>
      </c>
      <c r="C17" s="99" t="str">
        <f t="shared" si="0"/>
        <v>평촌경영고등학교</v>
      </c>
      <c r="D17" s="102" t="s">
        <v>258</v>
      </c>
      <c r="E17" s="101">
        <v>4</v>
      </c>
      <c r="F17" s="510" t="s">
        <v>176</v>
      </c>
      <c r="G17" t="str">
        <f t="shared" si="1"/>
        <v>VOC-4-A11417</v>
      </c>
    </row>
    <row r="18" spans="1:10" ht="20.100000000000001" customHeight="1">
      <c r="A18" s="927"/>
      <c r="B18" s="102" t="s">
        <v>436</v>
      </c>
      <c r="C18" s="99" t="str">
        <f t="shared" si="0"/>
        <v>평촌경영고등학교</v>
      </c>
      <c r="D18" s="102" t="s">
        <v>258</v>
      </c>
      <c r="E18" s="101">
        <v>5</v>
      </c>
      <c r="F18" s="510" t="s">
        <v>77</v>
      </c>
      <c r="G18" t="str">
        <f t="shared" si="1"/>
        <v>VOC-5-A08800</v>
      </c>
    </row>
    <row r="19" spans="1:10" ht="20.100000000000001" customHeight="1">
      <c r="A19" s="927"/>
      <c r="B19" s="102" t="s">
        <v>436</v>
      </c>
      <c r="C19" s="99" t="str">
        <f t="shared" si="0"/>
        <v>평촌경영고등학교</v>
      </c>
      <c r="D19" s="102" t="s">
        <v>258</v>
      </c>
      <c r="E19" s="101">
        <v>6</v>
      </c>
      <c r="F19" s="510" t="s">
        <v>170</v>
      </c>
      <c r="G19" t="str">
        <f t="shared" si="1"/>
        <v>VOC-6-A11412</v>
      </c>
    </row>
    <row r="20" spans="1:10" ht="20.100000000000001" customHeight="1">
      <c r="A20" s="927"/>
      <c r="B20" s="102" t="s">
        <v>35</v>
      </c>
      <c r="C20" s="99" t="str">
        <f t="shared" si="0"/>
        <v>평촌경영고등학교</v>
      </c>
      <c r="D20" s="102" t="s">
        <v>261</v>
      </c>
      <c r="E20" s="101">
        <v>1</v>
      </c>
      <c r="F20" s="510"/>
      <c r="G20" t="str">
        <f t="shared" si="1"/>
        <v>BBA-1-</v>
      </c>
    </row>
    <row r="21" spans="1:10" ht="20.100000000000001" customHeight="1">
      <c r="A21" s="927"/>
      <c r="B21" s="102" t="s">
        <v>35</v>
      </c>
      <c r="C21" s="99" t="str">
        <f t="shared" si="0"/>
        <v>평촌경영고등학교</v>
      </c>
      <c r="D21" s="102" t="s">
        <v>261</v>
      </c>
      <c r="E21" s="101">
        <v>2</v>
      </c>
      <c r="F21" s="510"/>
      <c r="G21" t="str">
        <f t="shared" si="1"/>
        <v>BBA-2-</v>
      </c>
    </row>
    <row r="22" spans="1:10" ht="20.100000000000001" customHeight="1">
      <c r="A22" s="927"/>
      <c r="B22" s="102" t="s">
        <v>35</v>
      </c>
      <c r="C22" s="99" t="str">
        <f t="shared" si="0"/>
        <v>평촌경영고등학교</v>
      </c>
      <c r="D22" s="102" t="s">
        <v>261</v>
      </c>
      <c r="E22" s="101">
        <v>3</v>
      </c>
      <c r="F22" s="510"/>
      <c r="G22" t="str">
        <f t="shared" si="1"/>
        <v>BBA-3-</v>
      </c>
    </row>
    <row r="23" spans="1:10" ht="20.100000000000001" customHeight="1">
      <c r="A23" s="927"/>
      <c r="B23" s="102" t="s">
        <v>90</v>
      </c>
      <c r="C23" s="99" t="str">
        <f t="shared" si="0"/>
        <v>평촌경영고등학교</v>
      </c>
      <c r="D23" s="102" t="s">
        <v>264</v>
      </c>
      <c r="E23" s="101">
        <v>1</v>
      </c>
      <c r="F23" s="510"/>
      <c r="G23" t="str">
        <f t="shared" si="1"/>
        <v>NBA-1-</v>
      </c>
    </row>
    <row r="24" spans="1:10" ht="20.100000000000001" customHeight="1">
      <c r="A24" s="927"/>
      <c r="B24" s="102" t="s">
        <v>90</v>
      </c>
      <c r="C24" s="99" t="str">
        <f t="shared" si="0"/>
        <v>평촌경영고등학교</v>
      </c>
      <c r="D24" s="102" t="s">
        <v>264</v>
      </c>
      <c r="E24" s="101">
        <v>2</v>
      </c>
      <c r="F24" s="510"/>
      <c r="G24" t="str">
        <f t="shared" si="1"/>
        <v>NBA-2-</v>
      </c>
    </row>
    <row r="25" spans="1:10" ht="20.100000000000001" customHeight="1">
      <c r="A25" s="927"/>
      <c r="B25" s="102" t="s">
        <v>90</v>
      </c>
      <c r="C25" s="99" t="str">
        <f t="shared" si="0"/>
        <v>평촌경영고등학교</v>
      </c>
      <c r="D25" s="102" t="s">
        <v>264</v>
      </c>
      <c r="E25" s="101">
        <v>3</v>
      </c>
      <c r="F25" s="510"/>
      <c r="G25" t="str">
        <f t="shared" si="1"/>
        <v>NBA-3-</v>
      </c>
    </row>
    <row r="26" spans="1:10" ht="20.100000000000001" customHeight="1">
      <c r="A26" s="927"/>
      <c r="B26" s="102" t="s">
        <v>90</v>
      </c>
      <c r="C26" s="99" t="str">
        <f t="shared" si="0"/>
        <v>평촌경영고등학교</v>
      </c>
      <c r="D26" s="102" t="s">
        <v>264</v>
      </c>
      <c r="E26" s="101">
        <v>4</v>
      </c>
      <c r="F26" s="510"/>
      <c r="G26" t="str">
        <f t="shared" si="1"/>
        <v>NBA-4-</v>
      </c>
    </row>
    <row r="27" spans="1:10" ht="20.100000000000001" customHeight="1">
      <c r="A27" s="927"/>
      <c r="B27" s="102" t="s">
        <v>90</v>
      </c>
      <c r="C27" s="99" t="str">
        <f t="shared" si="0"/>
        <v>평촌경영고등학교</v>
      </c>
      <c r="D27" s="102" t="s">
        <v>264</v>
      </c>
      <c r="E27" s="101">
        <v>5</v>
      </c>
      <c r="F27" s="510"/>
      <c r="G27" t="str">
        <f t="shared" si="1"/>
        <v>NBA-5-</v>
      </c>
    </row>
    <row r="28" spans="1:10" ht="20.100000000000001" customHeight="1">
      <c r="A28" s="927"/>
      <c r="B28" s="102" t="s">
        <v>90</v>
      </c>
      <c r="C28" s="99" t="str">
        <f t="shared" si="0"/>
        <v>평촌경영고등학교</v>
      </c>
      <c r="D28" s="102" t="s">
        <v>264</v>
      </c>
      <c r="E28" s="101">
        <v>6</v>
      </c>
      <c r="F28" s="511"/>
      <c r="G28" t="str">
        <f t="shared" si="1"/>
        <v>NBA-6-</v>
      </c>
    </row>
    <row r="29" spans="1:10" ht="20.100000000000001" customHeight="1">
      <c r="A29" s="927"/>
      <c r="B29" s="102"/>
      <c r="C29" s="99" t="str">
        <f t="shared" si="0"/>
        <v>평촌경영고등학교</v>
      </c>
      <c r="D29" s="102"/>
      <c r="E29" s="103"/>
      <c r="F29" s="512"/>
      <c r="G29" t="str">
        <f t="shared" si="1"/>
        <v>--</v>
      </c>
    </row>
    <row r="30" spans="1:10" ht="20.100000000000001" customHeight="1">
      <c r="A30" s="927"/>
      <c r="B30" s="102"/>
      <c r="C30" s="99" t="str">
        <f t="shared" si="0"/>
        <v>평촌경영고등학교</v>
      </c>
      <c r="D30" s="102"/>
      <c r="E30" s="103"/>
      <c r="F30" s="512"/>
      <c r="G30" t="str">
        <f t="shared" si="1"/>
        <v>--</v>
      </c>
      <c r="J30" t="s">
        <v>68</v>
      </c>
    </row>
    <row r="31" spans="1:10" ht="20.100000000000001" customHeight="1">
      <c r="A31" s="927"/>
      <c r="B31" s="102"/>
      <c r="C31" s="99" t="str">
        <f t="shared" si="0"/>
        <v>평촌경영고등학교</v>
      </c>
      <c r="D31" s="102"/>
      <c r="E31" s="103"/>
      <c r="F31" s="512"/>
      <c r="G31" t="str">
        <f t="shared" si="1"/>
        <v>--</v>
      </c>
      <c r="J31" t="s">
        <v>258</v>
      </c>
    </row>
    <row r="32" spans="1:10" ht="20.100000000000001" customHeight="1">
      <c r="A32" s="927"/>
      <c r="B32" s="102"/>
      <c r="C32" s="99" t="str">
        <f t="shared" si="0"/>
        <v>평촌경영고등학교</v>
      </c>
      <c r="D32" s="102"/>
      <c r="E32" s="103"/>
      <c r="F32" s="512"/>
      <c r="G32" t="str">
        <f t="shared" si="1"/>
        <v>--</v>
      </c>
      <c r="J32" t="s">
        <v>30</v>
      </c>
    </row>
    <row r="33" spans="1:10" ht="20.100000000000001" customHeight="1">
      <c r="A33" s="928"/>
      <c r="B33" s="102"/>
      <c r="C33" s="99" t="str">
        <f t="shared" si="0"/>
        <v>평촌경영고등학교</v>
      </c>
      <c r="D33" s="102"/>
      <c r="E33" s="104"/>
      <c r="F33" s="513"/>
      <c r="G33" t="str">
        <f t="shared" si="1"/>
        <v>--</v>
      </c>
      <c r="J33" t="s">
        <v>27</v>
      </c>
    </row>
    <row r="34" spans="1:10" ht="34.5" customHeight="1">
      <c r="A34" s="514" t="s">
        <v>119</v>
      </c>
      <c r="B34" s="910">
        <v>46183</v>
      </c>
      <c r="C34" s="910"/>
      <c r="D34" s="910"/>
      <c r="E34" s="910"/>
      <c r="F34" s="911"/>
      <c r="J34" t="s">
        <v>238</v>
      </c>
    </row>
    <row r="35" spans="1:10" ht="34.5" customHeight="1">
      <c r="A35" s="514" t="s">
        <v>243</v>
      </c>
      <c r="B35" s="909" t="s">
        <v>250</v>
      </c>
      <c r="C35" s="909"/>
      <c r="D35" s="909"/>
      <c r="E35" s="909"/>
      <c r="F35" s="515" t="s">
        <v>409</v>
      </c>
      <c r="J35" t="s">
        <v>261</v>
      </c>
    </row>
    <row r="36" spans="1:10" ht="34.5" customHeight="1">
      <c r="A36" s="514" t="s">
        <v>262</v>
      </c>
      <c r="B36" s="909" t="s">
        <v>196</v>
      </c>
      <c r="C36" s="909"/>
      <c r="D36" s="909"/>
      <c r="E36" s="909"/>
      <c r="F36" s="515" t="s">
        <v>409</v>
      </c>
      <c r="J36" t="s">
        <v>264</v>
      </c>
    </row>
    <row r="37" spans="1:10" ht="34.5" customHeight="1">
      <c r="A37" s="516" t="s">
        <v>200</v>
      </c>
      <c r="B37" s="913"/>
      <c r="C37" s="913"/>
      <c r="D37" s="913"/>
      <c r="E37" s="913"/>
      <c r="F37" s="914"/>
      <c r="J37" t="s">
        <v>247</v>
      </c>
    </row>
    <row r="38" spans="1:10" ht="34.5" customHeight="1">
      <c r="A38" s="915" t="s">
        <v>321</v>
      </c>
      <c r="B38" s="916"/>
      <c r="C38" s="916"/>
      <c r="D38" s="917"/>
      <c r="E38" s="916"/>
      <c r="F38" s="918"/>
    </row>
    <row r="39" spans="1:10" ht="34.5" customHeight="1">
      <c r="A39" s="919"/>
      <c r="B39" s="920"/>
      <c r="C39" s="920"/>
      <c r="D39" s="921"/>
      <c r="E39" s="920"/>
      <c r="F39" s="922"/>
    </row>
    <row r="40" spans="1:10" ht="0" hidden="1" customHeight="1">
      <c r="A40" s="509"/>
      <c r="F40" s="275"/>
    </row>
    <row r="41" spans="1:10" ht="0" hidden="1" customHeight="1">
      <c r="A41" s="509"/>
      <c r="F41" s="275"/>
    </row>
    <row r="42" spans="1:10" ht="0" hidden="1" customHeight="1">
      <c r="A42" s="517"/>
      <c r="B42" s="105"/>
      <c r="C42" s="105"/>
      <c r="D42" s="105"/>
      <c r="E42" s="105"/>
      <c r="F42" s="276"/>
    </row>
    <row r="43" spans="1:10">
      <c r="A43" s="923" t="s">
        <v>328</v>
      </c>
      <c r="B43" s="924"/>
      <c r="C43" s="924"/>
      <c r="D43" s="924"/>
      <c r="E43" s="924"/>
      <c r="F43" s="925"/>
    </row>
  </sheetData>
  <mergeCells count="14">
    <mergeCell ref="B36:E36"/>
    <mergeCell ref="B37:F37"/>
    <mergeCell ref="A38:F39"/>
    <mergeCell ref="A43:F43"/>
    <mergeCell ref="A6:B6"/>
    <mergeCell ref="C6:F6"/>
    <mergeCell ref="A7:A33"/>
    <mergeCell ref="B34:F34"/>
    <mergeCell ref="B35:E35"/>
    <mergeCell ref="A3:F3"/>
    <mergeCell ref="A4:B4"/>
    <mergeCell ref="C4:F4"/>
    <mergeCell ref="A5:B5"/>
    <mergeCell ref="C5:F5"/>
  </mergeCells>
  <phoneticPr fontId="37" type="noConversion"/>
  <dataValidations count="2">
    <dataValidation type="list" operator="equal" allowBlank="1" showInputMessage="1" showErrorMessage="1" sqref="B8:B33" xr:uid="{00000000-0002-0000-0500-000000000000}">
      <formula1>$I$4:$I$11</formula1>
    </dataValidation>
    <dataValidation type="list" operator="equal" allowBlank="1" showInputMessage="1" showErrorMessage="1" sqref="D8:D33" xr:uid="{00000000-0002-0000-0500-000001000000}">
      <formula1>$H$4:$H$11</formula1>
    </dataValidation>
  </dataValidations>
  <pageMargins left="0.74805557727813721" right="0.74805557727813721" top="0.98430556058883667" bottom="0.98430556058883667" header="0.51138889789581299" footer="0.51138889789581299"/>
  <pageSetup paperSize="9" scale="74" fitToWidth="0" fitToHeight="0" orientation="portrait" r:id="rId1"/>
  <rowBreaks count="1" manualBreakCount="1">
    <brk id="43" max="1048575" man="1"/>
  </rowBreaks>
  <colBreaks count="1" manualBreakCount="1">
    <brk id="6" max="1638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70C0"/>
  </sheetPr>
  <dimension ref="A1:H50"/>
  <sheetViews>
    <sheetView view="pageBreakPreview" zoomScaleNormal="100" zoomScaleSheetLayoutView="100" workbookViewId="0">
      <selection activeCell="D26" sqref="D26"/>
    </sheetView>
  </sheetViews>
  <sheetFormatPr defaultColWidth="9" defaultRowHeight="16.5"/>
  <cols>
    <col min="1" max="1" width="9.375" bestFit="1" customWidth="1"/>
    <col min="2" max="2" width="9" style="500" customWidth="1"/>
    <col min="3" max="3" width="12.875" customWidth="1"/>
    <col min="4" max="4" width="20.75" style="500" bestFit="1" customWidth="1"/>
    <col min="5" max="5" width="13.75" customWidth="1"/>
    <col min="6" max="6" width="9.125" customWidth="1"/>
  </cols>
  <sheetData>
    <row r="1" spans="1:8">
      <c r="A1" s="849" t="s">
        <v>447</v>
      </c>
      <c r="B1" s="849"/>
      <c r="C1" s="849"/>
      <c r="D1" s="849"/>
      <c r="E1" s="849"/>
      <c r="F1" s="849"/>
      <c r="G1" s="849"/>
      <c r="H1" s="849"/>
    </row>
    <row r="3" spans="1:8">
      <c r="A3" s="929" t="s">
        <v>195</v>
      </c>
      <c r="B3" s="930" t="s">
        <v>266</v>
      </c>
      <c r="C3" s="929" t="s">
        <v>213</v>
      </c>
      <c r="D3" s="930" t="s">
        <v>32</v>
      </c>
      <c r="E3" s="929" t="s">
        <v>17</v>
      </c>
      <c r="F3" s="929" t="s">
        <v>21</v>
      </c>
      <c r="G3" s="929"/>
      <c r="H3" s="929" t="s">
        <v>191</v>
      </c>
    </row>
    <row r="4" spans="1:8">
      <c r="A4" s="929"/>
      <c r="B4" s="930"/>
      <c r="C4" s="929"/>
      <c r="D4" s="930"/>
      <c r="E4" s="929"/>
      <c r="F4" s="50" t="s">
        <v>213</v>
      </c>
      <c r="G4" s="50" t="s">
        <v>21</v>
      </c>
      <c r="H4" s="929"/>
    </row>
    <row r="5" spans="1:8">
      <c r="A5" s="73" t="str">
        <f>시료인계서!$C$4</f>
        <v>2026.06.10</v>
      </c>
      <c r="B5" s="499" t="str">
        <f>'입력1(학교시설명 등 기본사항 입력) 보고서1,2'!$I$15</f>
        <v>박정식</v>
      </c>
      <c r="C5" s="50" t="str">
        <f>시료인계서!$C$5</f>
        <v>평촌경영고등학교</v>
      </c>
      <c r="D5" s="499" t="s">
        <v>158</v>
      </c>
      <c r="E5" s="50" t="str">
        <f>시료인계서!$B$8</f>
        <v>포름알데하이드</v>
      </c>
      <c r="F5" s="50" t="str">
        <f>시료인계서!C8</f>
        <v>평촌경영고등학교</v>
      </c>
      <c r="G5" s="50" t="str">
        <f>시료인계서!G8</f>
        <v>HCHO-1-</v>
      </c>
      <c r="H5" s="50"/>
    </row>
    <row r="6" spans="1:8">
      <c r="A6" s="73" t="str">
        <f>시료인계서!$C$4</f>
        <v>2026.06.10</v>
      </c>
      <c r="B6" s="499" t="str">
        <f>'입력1(학교시설명 등 기본사항 입력) 보고서1,2'!$I$15</f>
        <v>박정식</v>
      </c>
      <c r="C6" s="50" t="str">
        <f>시료인계서!$C$5</f>
        <v>평촌경영고등학교</v>
      </c>
      <c r="D6" s="499" t="s">
        <v>158</v>
      </c>
      <c r="E6" s="50" t="str">
        <f>시료인계서!$B$9</f>
        <v>포름알데하이드</v>
      </c>
      <c r="F6" s="50" t="str">
        <f>시료인계서!C9</f>
        <v>평촌경영고등학교</v>
      </c>
      <c r="G6" s="50" t="str">
        <f>시료인계서!G9</f>
        <v>HCHO-2-</v>
      </c>
      <c r="H6" s="50"/>
    </row>
    <row r="7" spans="1:8">
      <c r="A7" s="73" t="str">
        <f>시료인계서!$C$4</f>
        <v>2026.06.10</v>
      </c>
      <c r="B7" s="499" t="str">
        <f>'입력1(학교시설명 등 기본사항 입력) 보고서1,2'!$I$15</f>
        <v>박정식</v>
      </c>
      <c r="C7" s="50" t="str">
        <f>시료인계서!$C$5</f>
        <v>평촌경영고등학교</v>
      </c>
      <c r="D7" s="499" t="s">
        <v>136</v>
      </c>
      <c r="E7" s="50" t="str">
        <f>시료인계서!$B$10</f>
        <v>포름알데하이드</v>
      </c>
      <c r="F7" s="50" t="str">
        <f>시료인계서!C10</f>
        <v>평촌경영고등학교</v>
      </c>
      <c r="G7" s="50" t="str">
        <f>시료인계서!G10</f>
        <v>HCHO-3-</v>
      </c>
      <c r="H7" s="50"/>
    </row>
    <row r="8" spans="1:8">
      <c r="A8" s="73" t="str">
        <f>시료인계서!$C$4</f>
        <v>2026.06.10</v>
      </c>
      <c r="B8" s="499" t="str">
        <f>'입력1(학교시설명 등 기본사항 입력) 보고서1,2'!$I$15</f>
        <v>박정식</v>
      </c>
      <c r="C8" s="50" t="str">
        <f>시료인계서!$C$5</f>
        <v>평촌경영고등학교</v>
      </c>
      <c r="D8" s="499" t="s">
        <v>136</v>
      </c>
      <c r="E8" s="50" t="str">
        <f>시료인계서!$B$11</f>
        <v>포름알데하이드</v>
      </c>
      <c r="F8" s="50" t="str">
        <f>시료인계서!C11</f>
        <v>평촌경영고등학교</v>
      </c>
      <c r="G8" s="50" t="str">
        <f>시료인계서!G11</f>
        <v>HCHO-4-</v>
      </c>
      <c r="H8" s="50"/>
    </row>
    <row r="9" spans="1:8">
      <c r="A9" s="73" t="str">
        <f>시료인계서!$C$4</f>
        <v>2026.06.10</v>
      </c>
      <c r="B9" s="499" t="str">
        <f>'입력1(학교시설명 등 기본사항 입력) 보고서1,2'!$I$15</f>
        <v>박정식</v>
      </c>
      <c r="C9" s="50" t="str">
        <f>시료인계서!$C$5</f>
        <v>평촌경영고등학교</v>
      </c>
      <c r="D9" s="499" t="s">
        <v>106</v>
      </c>
      <c r="E9" s="50" t="str">
        <f>시료인계서!$B$12</f>
        <v>포름알데하이드</v>
      </c>
      <c r="F9" s="50" t="str">
        <f>시료인계서!C12</f>
        <v>평촌경영고등학교</v>
      </c>
      <c r="G9" s="50" t="str">
        <f>시료인계서!G12</f>
        <v>HCHO-5-</v>
      </c>
      <c r="H9" s="50"/>
    </row>
    <row r="10" spans="1:8">
      <c r="A10" s="73" t="str">
        <f>시료인계서!$C$4</f>
        <v>2026.06.10</v>
      </c>
      <c r="B10" s="499" t="str">
        <f>'입력1(학교시설명 등 기본사항 입력) 보고서1,2'!$I$15</f>
        <v>박정식</v>
      </c>
      <c r="C10" s="50" t="str">
        <f>시료인계서!$C$5</f>
        <v>평촌경영고등학교</v>
      </c>
      <c r="D10" s="499" t="s">
        <v>106</v>
      </c>
      <c r="E10" s="50" t="str">
        <f>시료인계서!$B$13</f>
        <v>포름알데하이드</v>
      </c>
      <c r="F10" s="50" t="str">
        <f>시료인계서!C13</f>
        <v>평촌경영고등학교</v>
      </c>
      <c r="G10" s="50" t="str">
        <f>시료인계서!G13</f>
        <v>HCHO-6-</v>
      </c>
      <c r="H10" s="50"/>
    </row>
    <row r="11" spans="1:8">
      <c r="A11" s="73" t="str">
        <f>시료인계서!$C$4</f>
        <v>2026.06.10</v>
      </c>
      <c r="B11" s="499" t="str">
        <f>'입력1(학교시설명 등 기본사항 입력) 보고서1,2'!$I$15</f>
        <v>박정식</v>
      </c>
      <c r="C11" s="50" t="str">
        <f>시료인계서!$C$5</f>
        <v>평촌경영고등학교</v>
      </c>
      <c r="D11" s="499" t="s">
        <v>158</v>
      </c>
      <c r="E11" s="50" t="str">
        <f>시료인계서!$B$14</f>
        <v>총휘발성유기화합물</v>
      </c>
      <c r="F11" s="50" t="str">
        <f>시료인계서!C14</f>
        <v>평촌경영고등학교</v>
      </c>
      <c r="G11" s="50" t="str">
        <f>시료인계서!G14</f>
        <v>VOC-1-A10741</v>
      </c>
      <c r="H11" s="50"/>
    </row>
    <row r="12" spans="1:8">
      <c r="A12" s="73" t="str">
        <f>시료인계서!$C$4</f>
        <v>2026.06.10</v>
      </c>
      <c r="B12" s="499" t="str">
        <f>'입력1(학교시설명 등 기본사항 입력) 보고서1,2'!$I$15</f>
        <v>박정식</v>
      </c>
      <c r="C12" s="50" t="str">
        <f>시료인계서!$C$5</f>
        <v>평촌경영고등학교</v>
      </c>
      <c r="D12" s="499" t="s">
        <v>158</v>
      </c>
      <c r="E12" s="50" t="str">
        <f>시료인계서!$B$15</f>
        <v>총휘발성유기화합물</v>
      </c>
      <c r="F12" s="50" t="str">
        <f>시료인계서!C15</f>
        <v>평촌경영고등학교</v>
      </c>
      <c r="G12" s="50" t="str">
        <f>시료인계서!G15</f>
        <v>VOC-2-A11429</v>
      </c>
      <c r="H12" s="50"/>
    </row>
    <row r="13" spans="1:8">
      <c r="A13" s="73" t="str">
        <f>시료인계서!$C$4</f>
        <v>2026.06.10</v>
      </c>
      <c r="B13" s="499" t="str">
        <f>'입력1(학교시설명 등 기본사항 입력) 보고서1,2'!$I$15</f>
        <v>박정식</v>
      </c>
      <c r="C13" s="50" t="str">
        <f>시료인계서!$C$5</f>
        <v>평촌경영고등학교</v>
      </c>
      <c r="D13" s="499" t="s">
        <v>136</v>
      </c>
      <c r="E13" s="50" t="str">
        <f>시료인계서!$B$16</f>
        <v>총휘발성유기화합물</v>
      </c>
      <c r="F13" s="50" t="str">
        <f>시료인계서!C16</f>
        <v>평촌경영고등학교</v>
      </c>
      <c r="G13" s="50" t="str">
        <f>시료인계서!G16</f>
        <v>VOC-3-A11416</v>
      </c>
      <c r="H13" s="50"/>
    </row>
    <row r="14" spans="1:8">
      <c r="A14" s="73" t="str">
        <f>시료인계서!$C$4</f>
        <v>2026.06.10</v>
      </c>
      <c r="B14" s="499" t="str">
        <f>'입력1(학교시설명 등 기본사항 입력) 보고서1,2'!$I$15</f>
        <v>박정식</v>
      </c>
      <c r="C14" s="50" t="str">
        <f>시료인계서!$C$5</f>
        <v>평촌경영고등학교</v>
      </c>
      <c r="D14" s="499" t="s">
        <v>136</v>
      </c>
      <c r="E14" s="50" t="str">
        <f>시료인계서!$B$17</f>
        <v>총휘발성유기화합물</v>
      </c>
      <c r="F14" s="50" t="str">
        <f>시료인계서!C17</f>
        <v>평촌경영고등학교</v>
      </c>
      <c r="G14" s="50" t="str">
        <f>시료인계서!G17</f>
        <v>VOC-4-A11417</v>
      </c>
      <c r="H14" s="50"/>
    </row>
    <row r="15" spans="1:8">
      <c r="A15" s="73" t="str">
        <f>시료인계서!$C$4</f>
        <v>2026.06.10</v>
      </c>
      <c r="B15" s="499" t="str">
        <f>'입력1(학교시설명 등 기본사항 입력) 보고서1,2'!$I$15</f>
        <v>박정식</v>
      </c>
      <c r="C15" s="50" t="str">
        <f>시료인계서!$C$5</f>
        <v>평촌경영고등학교</v>
      </c>
      <c r="D15" s="499" t="s">
        <v>106</v>
      </c>
      <c r="E15" s="50" t="str">
        <f>시료인계서!$B$18</f>
        <v>총휘발성유기화합물</v>
      </c>
      <c r="F15" s="50" t="str">
        <f>시료인계서!C18</f>
        <v>평촌경영고등학교</v>
      </c>
      <c r="G15" s="50" t="str">
        <f>시료인계서!G18</f>
        <v>VOC-5-A08800</v>
      </c>
      <c r="H15" s="50"/>
    </row>
    <row r="16" spans="1:8">
      <c r="A16" s="73" t="str">
        <f>시료인계서!$C$4</f>
        <v>2026.06.10</v>
      </c>
      <c r="B16" s="499" t="str">
        <f>'입력1(학교시설명 등 기본사항 입력) 보고서1,2'!$I$15</f>
        <v>박정식</v>
      </c>
      <c r="C16" s="50" t="str">
        <f>시료인계서!$C$5</f>
        <v>평촌경영고등학교</v>
      </c>
      <c r="D16" s="499" t="s">
        <v>106</v>
      </c>
      <c r="E16" s="50" t="str">
        <f>시료인계서!$B$19</f>
        <v>총휘발성유기화합물</v>
      </c>
      <c r="F16" s="50" t="str">
        <f>시료인계서!C19</f>
        <v>평촌경영고등학교</v>
      </c>
      <c r="G16" s="50" t="str">
        <f>시료인계서!G19</f>
        <v>VOC-6-A11412</v>
      </c>
      <c r="H16" s="50"/>
    </row>
    <row r="17" spans="1:8">
      <c r="A17" s="73" t="str">
        <f>시료인계서!$C$4</f>
        <v>2026.06.10</v>
      </c>
      <c r="B17" s="499" t="str">
        <f>'입력1(학교시설명 등 기본사항 입력) 보고서1,2'!$I$15</f>
        <v>박정식</v>
      </c>
      <c r="C17" s="50" t="str">
        <f>시료인계서!$C$5</f>
        <v>평촌경영고등학교</v>
      </c>
      <c r="D17" s="499" t="s">
        <v>109</v>
      </c>
      <c r="E17" s="50" t="str">
        <f>시료인계서!$B$20</f>
        <v>부유세균</v>
      </c>
      <c r="F17" s="50" t="str">
        <f>시료인계서!C20</f>
        <v>평촌경영고등학교</v>
      </c>
      <c r="G17" s="50" t="str">
        <f>시료인계서!G20</f>
        <v>BBA-1-</v>
      </c>
      <c r="H17" s="50"/>
    </row>
    <row r="18" spans="1:8">
      <c r="A18" s="73" t="str">
        <f>시료인계서!$C$4</f>
        <v>2026.06.10</v>
      </c>
      <c r="B18" s="499" t="str">
        <f>'입력1(학교시설명 등 기본사항 입력) 보고서1,2'!$I$15</f>
        <v>박정식</v>
      </c>
      <c r="C18" s="50" t="str">
        <f>시료인계서!$C$5</f>
        <v>평촌경영고등학교</v>
      </c>
      <c r="D18" s="499" t="s">
        <v>114</v>
      </c>
      <c r="E18" s="50" t="str">
        <f>시료인계서!$B$21</f>
        <v>부유세균</v>
      </c>
      <c r="F18" s="50" t="str">
        <f>시료인계서!C21</f>
        <v>평촌경영고등학교</v>
      </c>
      <c r="G18" s="50" t="str">
        <f>시료인계서!G21</f>
        <v>BBA-2-</v>
      </c>
      <c r="H18" s="50"/>
    </row>
    <row r="19" spans="1:8">
      <c r="A19" s="73" t="str">
        <f>시료인계서!$C$4</f>
        <v>2026.06.10</v>
      </c>
      <c r="B19" s="499" t="str">
        <f>'입력1(학교시설명 등 기본사항 입력) 보고서1,2'!$I$15</f>
        <v>박정식</v>
      </c>
      <c r="C19" s="50" t="str">
        <f>시료인계서!$C$5</f>
        <v>평촌경영고등학교</v>
      </c>
      <c r="D19" s="499" t="s">
        <v>383</v>
      </c>
      <c r="E19" s="50" t="str">
        <f>시료인계서!$B$22</f>
        <v>부유세균</v>
      </c>
      <c r="F19" s="50" t="str">
        <f>시료인계서!C22</f>
        <v>평촌경영고등학교</v>
      </c>
      <c r="G19" s="50" t="str">
        <f>시료인계서!G22</f>
        <v>BBA-3-</v>
      </c>
      <c r="H19" s="50"/>
    </row>
    <row r="20" spans="1:8">
      <c r="A20" s="73" t="str">
        <f>시료인계서!$C$4</f>
        <v>2026.06.10</v>
      </c>
      <c r="B20" s="499" t="str">
        <f>'입력1(학교시설명 등 기본사항 입력) 보고서1,2'!$I$15</f>
        <v>박정식</v>
      </c>
      <c r="C20" s="50" t="str">
        <f>시료인계서!$C$5</f>
        <v>평촌경영고등학교</v>
      </c>
      <c r="D20" s="499" t="s">
        <v>254</v>
      </c>
      <c r="E20" s="50" t="str">
        <f>시료인계서!$B$23</f>
        <v>낙하세균</v>
      </c>
      <c r="F20" s="50" t="str">
        <f>시료인계서!C23</f>
        <v>평촌경영고등학교</v>
      </c>
      <c r="G20" s="50" t="str">
        <f>시료인계서!G23</f>
        <v>NBA-1-</v>
      </c>
      <c r="H20" s="50"/>
    </row>
    <row r="21" spans="1:8">
      <c r="A21" s="73" t="str">
        <f>시료인계서!$C$4</f>
        <v>2026.06.10</v>
      </c>
      <c r="B21" s="499" t="str">
        <f>'입력1(학교시설명 등 기본사항 입력) 보고서1,2'!$I$15</f>
        <v>박정식</v>
      </c>
      <c r="C21" s="50" t="str">
        <f>시료인계서!$C$5</f>
        <v>평촌경영고등학교</v>
      </c>
      <c r="D21" s="499" t="s">
        <v>254</v>
      </c>
      <c r="E21" s="50" t="str">
        <f>시료인계서!$B$24</f>
        <v>낙하세균</v>
      </c>
      <c r="F21" s="50" t="str">
        <f>시료인계서!C24</f>
        <v>평촌경영고등학교</v>
      </c>
      <c r="G21" s="50" t="str">
        <f>시료인계서!G24</f>
        <v>NBA-2-</v>
      </c>
      <c r="H21" s="50"/>
    </row>
    <row r="22" spans="1:8">
      <c r="A22" s="73" t="str">
        <f>시료인계서!$C$4</f>
        <v>2026.06.10</v>
      </c>
      <c r="B22" s="499" t="str">
        <f>'입력1(학교시설명 등 기본사항 입력) 보고서1,2'!$I$15</f>
        <v>박정식</v>
      </c>
      <c r="C22" s="50" t="str">
        <f>시료인계서!$C$5</f>
        <v>평촌경영고등학교</v>
      </c>
      <c r="D22" s="499" t="s">
        <v>254</v>
      </c>
      <c r="E22" s="50" t="str">
        <f>시료인계서!$B$25</f>
        <v>낙하세균</v>
      </c>
      <c r="F22" s="50" t="str">
        <f>시료인계서!C25</f>
        <v>평촌경영고등학교</v>
      </c>
      <c r="G22" s="50" t="str">
        <f>시료인계서!G25</f>
        <v>NBA-3-</v>
      </c>
      <c r="H22" s="50"/>
    </row>
    <row r="23" spans="1:8">
      <c r="A23" s="73" t="str">
        <f>시료인계서!$C$4</f>
        <v>2026.06.10</v>
      </c>
      <c r="B23" s="499" t="str">
        <f>'입력1(학교시설명 등 기본사항 입력) 보고서1,2'!$I$15</f>
        <v>박정식</v>
      </c>
      <c r="C23" s="50" t="str">
        <f>시료인계서!$C$5</f>
        <v>평촌경영고등학교</v>
      </c>
      <c r="D23" s="499" t="s">
        <v>78</v>
      </c>
      <c r="E23" s="50" t="str">
        <f>시료인계서!$B$26</f>
        <v>낙하세균</v>
      </c>
      <c r="F23" s="50" t="str">
        <f>시료인계서!C26</f>
        <v>평촌경영고등학교</v>
      </c>
      <c r="G23" s="50" t="str">
        <f>시료인계서!G26</f>
        <v>NBA-4-</v>
      </c>
      <c r="H23" s="50"/>
    </row>
    <row r="24" spans="1:8">
      <c r="A24" s="73" t="str">
        <f>시료인계서!$C$4</f>
        <v>2026.06.10</v>
      </c>
      <c r="B24" s="499" t="str">
        <f>'입력1(학교시설명 등 기본사항 입력) 보고서1,2'!$I$15</f>
        <v>박정식</v>
      </c>
      <c r="C24" s="50" t="str">
        <f>시료인계서!$C$5</f>
        <v>평촌경영고등학교</v>
      </c>
      <c r="D24" s="499" t="s">
        <v>78</v>
      </c>
      <c r="E24" s="50" t="str">
        <f>시료인계서!$B$27</f>
        <v>낙하세균</v>
      </c>
      <c r="F24" s="50" t="str">
        <f>시료인계서!C27</f>
        <v>평촌경영고등학교</v>
      </c>
      <c r="G24" s="50" t="str">
        <f>시료인계서!G27</f>
        <v>NBA-5-</v>
      </c>
      <c r="H24" s="50"/>
    </row>
    <row r="25" spans="1:8">
      <c r="A25" s="73" t="str">
        <f>시료인계서!$C$4</f>
        <v>2026.06.10</v>
      </c>
      <c r="B25" s="499" t="str">
        <f>'입력1(학교시설명 등 기본사항 입력) 보고서1,2'!$I$15</f>
        <v>박정식</v>
      </c>
      <c r="C25" s="50" t="str">
        <f>시료인계서!$C$5</f>
        <v>평촌경영고등학교</v>
      </c>
      <c r="D25" s="499" t="s">
        <v>78</v>
      </c>
      <c r="E25" s="50" t="str">
        <f>시료인계서!$B$28</f>
        <v>낙하세균</v>
      </c>
      <c r="F25" s="50" t="str">
        <f>시료인계서!C28</f>
        <v>평촌경영고등학교</v>
      </c>
      <c r="G25" s="50" t="str">
        <f>시료인계서!G28</f>
        <v>NBA-6-</v>
      </c>
      <c r="H25" s="50"/>
    </row>
    <row r="26" spans="1:8">
      <c r="A26" s="73" t="str">
        <f>시료인계서!$C$4</f>
        <v>2026.06.10</v>
      </c>
      <c r="B26" s="499" t="str">
        <f>'입력1(학교시설명 등 기본사항 입력) 보고서1,2'!$I$15</f>
        <v>박정식</v>
      </c>
      <c r="C26" s="50" t="str">
        <f>시료인계서!$C$5</f>
        <v>평촌경영고등학교</v>
      </c>
      <c r="D26" s="499"/>
      <c r="E26" s="50">
        <f>시료인계서!$B$29</f>
        <v>0</v>
      </c>
      <c r="F26" s="50" t="str">
        <f>시료인계서!C29</f>
        <v>평촌경영고등학교</v>
      </c>
      <c r="G26" s="50" t="str">
        <f>시료인계서!G29</f>
        <v>--</v>
      </c>
      <c r="H26" s="50"/>
    </row>
    <row r="27" spans="1:8">
      <c r="A27" s="73" t="str">
        <f>시료인계서!$C$4</f>
        <v>2026.06.10</v>
      </c>
      <c r="B27" s="499" t="str">
        <f>'입력1(학교시설명 등 기본사항 입력) 보고서1,2'!$I$15</f>
        <v>박정식</v>
      </c>
      <c r="C27" s="50" t="str">
        <f>시료인계서!$C$5</f>
        <v>평촌경영고등학교</v>
      </c>
      <c r="D27" s="499"/>
      <c r="E27" s="50">
        <f>시료인계서!$B$32</f>
        <v>0</v>
      </c>
      <c r="F27" s="50" t="str">
        <f>시료인계서!C30</f>
        <v>평촌경영고등학교</v>
      </c>
      <c r="G27" s="50" t="str">
        <f>시료인계서!G30</f>
        <v>--</v>
      </c>
      <c r="H27" s="50"/>
    </row>
    <row r="28" spans="1:8">
      <c r="A28" s="73" t="str">
        <f>시료인계서!$C$4</f>
        <v>2026.06.10</v>
      </c>
      <c r="B28" s="499" t="str">
        <f>'입력1(학교시설명 등 기본사항 입력) 보고서1,2'!$I$15</f>
        <v>박정식</v>
      </c>
      <c r="C28" s="50" t="str">
        <f>시료인계서!$C$5</f>
        <v>평촌경영고등학교</v>
      </c>
      <c r="D28" s="499"/>
      <c r="E28" s="50">
        <f>시료인계서!$B$33</f>
        <v>0</v>
      </c>
      <c r="F28" s="50" t="str">
        <f>시료인계서!C31</f>
        <v>평촌경영고등학교</v>
      </c>
      <c r="G28" s="50" t="str">
        <f>시료인계서!G31</f>
        <v>--</v>
      </c>
      <c r="H28" s="50"/>
    </row>
    <row r="29" spans="1:8">
      <c r="A29" s="73" t="str">
        <f>시료인계서!$C$4</f>
        <v>2026.06.10</v>
      </c>
      <c r="B29" s="499" t="str">
        <f>'입력1(학교시설명 등 기본사항 입력) 보고서1,2'!$I$15</f>
        <v>박정식</v>
      </c>
      <c r="C29" s="50" t="str">
        <f>시료인계서!$C$5</f>
        <v>평촌경영고등학교</v>
      </c>
      <c r="D29" s="499"/>
      <c r="E29" s="522">
        <f>시료인계서!$B$34</f>
        <v>46183</v>
      </c>
      <c r="F29" s="50" t="str">
        <f>시료인계서!C32</f>
        <v>평촌경영고등학교</v>
      </c>
      <c r="G29" s="50" t="str">
        <f>시료인계서!G32</f>
        <v>--</v>
      </c>
      <c r="H29" s="50"/>
    </row>
    <row r="30" spans="1:8">
      <c r="A30" s="73" t="str">
        <f>시료인계서!$C$4</f>
        <v>2026.06.10</v>
      </c>
      <c r="B30" s="499" t="str">
        <f>'입력1(학교시설명 등 기본사항 입력) 보고서1,2'!$I$15</f>
        <v>박정식</v>
      </c>
      <c r="C30" s="50" t="str">
        <f>시료인계서!$C$5</f>
        <v>평촌경영고등학교</v>
      </c>
      <c r="D30" s="499"/>
      <c r="E30" s="50" t="str">
        <f>시료인계서!$B$35</f>
        <v>박정식</v>
      </c>
      <c r="F30" s="50" t="str">
        <f>시료인계서!C33</f>
        <v>평촌경영고등학교</v>
      </c>
      <c r="G30" s="50" t="str">
        <f>시료인계서!G33</f>
        <v>--</v>
      </c>
      <c r="H30" s="50"/>
    </row>
    <row r="31" spans="1:8">
      <c r="A31" s="50"/>
      <c r="B31" s="499"/>
      <c r="C31" s="50"/>
      <c r="D31" s="499"/>
      <c r="E31" s="50"/>
      <c r="F31" s="50"/>
      <c r="G31" s="50">
        <f>시료인계서!G34</f>
        <v>0</v>
      </c>
      <c r="H31" s="50"/>
    </row>
    <row r="32" spans="1:8">
      <c r="A32" s="50"/>
      <c r="B32" s="499"/>
      <c r="C32" s="50"/>
      <c r="D32" s="499"/>
      <c r="E32" s="50"/>
      <c r="F32" s="50"/>
      <c r="G32" s="50">
        <f>시료인계서!G35</f>
        <v>0</v>
      </c>
      <c r="H32" s="50"/>
    </row>
    <row r="33" spans="1:8">
      <c r="A33" s="50"/>
      <c r="B33" s="499"/>
      <c r="C33" s="50"/>
      <c r="D33" s="499"/>
      <c r="E33" s="50"/>
      <c r="F33" s="50"/>
      <c r="G33" s="50"/>
      <c r="H33" s="50"/>
    </row>
    <row r="34" spans="1:8">
      <c r="A34" s="50"/>
      <c r="B34" s="499"/>
      <c r="C34" s="50"/>
      <c r="D34" s="499"/>
      <c r="E34" s="50"/>
      <c r="F34" s="50"/>
      <c r="G34" s="50"/>
      <c r="H34" s="50"/>
    </row>
    <row r="35" spans="1:8">
      <c r="A35" s="50"/>
      <c r="B35" s="499"/>
      <c r="C35" s="50"/>
      <c r="D35" s="499"/>
      <c r="E35" s="50"/>
      <c r="F35" s="50"/>
      <c r="G35" s="50"/>
      <c r="H35" s="50"/>
    </row>
    <row r="36" spans="1:8">
      <c r="A36" s="50"/>
      <c r="B36" s="499"/>
      <c r="C36" s="50"/>
      <c r="D36" s="499"/>
      <c r="E36" s="50"/>
      <c r="F36" s="50"/>
      <c r="G36" s="50"/>
      <c r="H36" s="50"/>
    </row>
    <row r="37" spans="1:8">
      <c r="A37" s="50"/>
      <c r="B37" s="499"/>
      <c r="C37" s="50"/>
      <c r="D37" s="499"/>
      <c r="E37" s="50"/>
      <c r="F37" s="50"/>
      <c r="G37" s="50"/>
      <c r="H37" s="50"/>
    </row>
    <row r="38" spans="1:8">
      <c r="A38" s="50"/>
      <c r="B38" s="499"/>
      <c r="C38" s="50"/>
      <c r="D38" s="499"/>
      <c r="E38" s="50"/>
      <c r="F38" s="50"/>
      <c r="G38" s="50"/>
      <c r="H38" s="50"/>
    </row>
    <row r="39" spans="1:8">
      <c r="A39" s="50"/>
      <c r="B39" s="499"/>
      <c r="C39" s="50"/>
      <c r="D39" s="499"/>
      <c r="E39" s="50"/>
      <c r="F39" s="50"/>
      <c r="G39" s="50"/>
      <c r="H39" s="50"/>
    </row>
    <row r="40" spans="1:8">
      <c r="A40" s="50"/>
      <c r="B40" s="499"/>
      <c r="C40" s="50"/>
      <c r="D40" s="499"/>
      <c r="E40" s="50"/>
      <c r="F40" s="50"/>
      <c r="G40" s="50"/>
      <c r="H40" s="50"/>
    </row>
    <row r="41" spans="1:8">
      <c r="A41" s="50"/>
      <c r="B41" s="499"/>
      <c r="C41" s="50"/>
      <c r="D41" s="499"/>
      <c r="E41" s="50"/>
      <c r="F41" s="50"/>
      <c r="G41" s="50"/>
      <c r="H41" s="50"/>
    </row>
    <row r="42" spans="1:8">
      <c r="A42" s="50"/>
      <c r="B42" s="499"/>
      <c r="C42" s="50"/>
      <c r="D42" s="499"/>
      <c r="E42" s="50"/>
      <c r="F42" s="50"/>
      <c r="G42" s="50"/>
      <c r="H42" s="50"/>
    </row>
    <row r="43" spans="1:8">
      <c r="A43" s="50"/>
      <c r="B43" s="499"/>
      <c r="C43" s="50"/>
      <c r="D43" s="499"/>
      <c r="E43" s="50"/>
      <c r="F43" s="50"/>
      <c r="G43" s="50"/>
      <c r="H43" s="50"/>
    </row>
    <row r="44" spans="1:8">
      <c r="A44" s="50"/>
      <c r="B44" s="499"/>
      <c r="C44" s="50"/>
      <c r="D44" s="499"/>
      <c r="E44" s="50"/>
      <c r="F44" s="50"/>
      <c r="G44" s="50"/>
      <c r="H44" s="50"/>
    </row>
    <row r="45" spans="1:8">
      <c r="A45" s="50"/>
      <c r="B45" s="499"/>
      <c r="C45" s="50"/>
      <c r="D45" s="499"/>
      <c r="E45" s="50"/>
      <c r="F45" s="50"/>
      <c r="G45" s="50"/>
      <c r="H45" s="50"/>
    </row>
    <row r="46" spans="1:8">
      <c r="A46" s="50"/>
      <c r="B46" s="499"/>
      <c r="C46" s="50"/>
      <c r="D46" s="499"/>
      <c r="E46" s="50"/>
      <c r="F46" s="50"/>
      <c r="G46" s="50"/>
      <c r="H46" s="50"/>
    </row>
    <row r="47" spans="1:8">
      <c r="A47" s="50"/>
      <c r="B47" s="499"/>
      <c r="C47" s="50"/>
      <c r="D47" s="499"/>
      <c r="E47" s="50"/>
      <c r="F47" s="50"/>
      <c r="G47" s="50"/>
      <c r="H47" s="50"/>
    </row>
    <row r="48" spans="1:8">
      <c r="A48" s="50"/>
      <c r="B48" s="499"/>
      <c r="C48" s="50"/>
      <c r="D48" s="499"/>
      <c r="E48" s="50"/>
      <c r="F48" s="50"/>
      <c r="G48" s="50"/>
      <c r="H48" s="50"/>
    </row>
    <row r="49" spans="1:8">
      <c r="A49" s="50"/>
      <c r="B49" s="499"/>
      <c r="C49" s="50"/>
      <c r="D49" s="499"/>
      <c r="E49" s="50"/>
      <c r="F49" s="50"/>
      <c r="G49" s="50"/>
      <c r="H49" s="50"/>
    </row>
    <row r="50" spans="1:8">
      <c r="A50" s="50"/>
      <c r="B50" s="499"/>
      <c r="C50" s="50"/>
      <c r="D50" s="499"/>
      <c r="E50" s="50"/>
      <c r="F50" s="50"/>
      <c r="G50" s="50"/>
      <c r="H50" s="50"/>
    </row>
  </sheetData>
  <mergeCells count="8">
    <mergeCell ref="A1:H1"/>
    <mergeCell ref="A3:A4"/>
    <mergeCell ref="B3:B4"/>
    <mergeCell ref="C3:C4"/>
    <mergeCell ref="D3:D4"/>
    <mergeCell ref="E3:E4"/>
    <mergeCell ref="F3:G3"/>
    <mergeCell ref="H3:H4"/>
  </mergeCells>
  <phoneticPr fontId="37" type="noConversion"/>
  <pageMargins left="0.74805557727813721" right="0.74805557727813721" top="0.98430556058883667" bottom="0.98430556058883667" header="0.51138889789581299" footer="0.51138889789581299"/>
  <pageSetup paperSize="9" scale="90" fitToWidth="0" fitToHeight="0" orientation="portrait" r:id="rId1"/>
  <rowBreaks count="1" manualBreakCount="1">
    <brk id="47" max="1048575" man="1"/>
  </rowBreaks>
  <colBreaks count="1" manualBreakCount="1">
    <brk id="8" max="16383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00000000-0002-0000-0600-000000000000}">
          <x14:formula1>
            <xm:f>'드롭다운 메뉴_지우지말것!'!$G$2:$G$4</xm:f>
          </x14:formula1>
          <xm:sqref>B5:B30</xm:sqref>
        </x14:dataValidation>
        <x14:dataValidation type="list" operator="equal" allowBlank="1" showInputMessage="1" showErrorMessage="1" xr:uid="{00000000-0002-0000-0600-000001000000}">
          <x14:formula1>
            <xm:f>'드롭다운 메뉴_지우지말것!'!$D$2:$D$9</xm:f>
          </x14:formula1>
          <xm:sqref>E31:E50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20"/>
  <sheetViews>
    <sheetView view="pageBreakPreview" topLeftCell="G1" zoomScaleNormal="100" zoomScaleSheetLayoutView="100" workbookViewId="0">
      <selection activeCell="C26" sqref="C26:F26"/>
    </sheetView>
  </sheetViews>
  <sheetFormatPr defaultColWidth="9" defaultRowHeight="16.5"/>
  <cols>
    <col min="1" max="1" width="6.875" customWidth="1"/>
    <col min="3" max="3" width="12.125" style="51" customWidth="1"/>
    <col min="4" max="4" width="12.75" customWidth="1"/>
    <col min="5" max="5" width="15.625" customWidth="1"/>
    <col min="6" max="6" width="18.375" customWidth="1"/>
    <col min="7" max="7" width="11.75" customWidth="1"/>
    <col min="8" max="8" width="11.375" customWidth="1"/>
    <col min="9" max="10" width="9" style="47" bestFit="1" customWidth="1"/>
    <col min="11" max="11" width="13.375" style="47" customWidth="1"/>
    <col min="12" max="12" width="15.75" style="47" customWidth="1"/>
    <col min="13" max="13" width="13.375" style="47" customWidth="1"/>
    <col min="14" max="14" width="14.5" style="47" customWidth="1"/>
  </cols>
  <sheetData>
    <row r="1" spans="1:15" ht="30.75" customHeight="1">
      <c r="A1" s="935" t="s">
        <v>105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  <c r="L1" s="935"/>
      <c r="M1" s="935"/>
    </row>
    <row r="2" spans="1:15">
      <c r="A2" s="936" t="s">
        <v>226</v>
      </c>
      <c r="B2" s="936" t="s">
        <v>266</v>
      </c>
      <c r="C2" s="937" t="s">
        <v>195</v>
      </c>
      <c r="D2" s="936" t="s">
        <v>212</v>
      </c>
      <c r="E2" s="936" t="s">
        <v>32</v>
      </c>
      <c r="F2" s="936" t="s">
        <v>17</v>
      </c>
      <c r="G2" s="938" t="s">
        <v>16</v>
      </c>
      <c r="H2" s="936" t="s">
        <v>48</v>
      </c>
      <c r="I2" s="936" t="s">
        <v>359</v>
      </c>
      <c r="J2" s="936"/>
      <c r="K2" s="940" t="s">
        <v>346</v>
      </c>
      <c r="L2" s="940" t="s">
        <v>441</v>
      </c>
      <c r="M2" s="936" t="s">
        <v>432</v>
      </c>
      <c r="N2" s="931" t="s">
        <v>317</v>
      </c>
      <c r="O2" s="849"/>
    </row>
    <row r="3" spans="1:15">
      <c r="A3" s="936"/>
      <c r="B3" s="936"/>
      <c r="C3" s="937"/>
      <c r="D3" s="936"/>
      <c r="E3" s="936"/>
      <c r="F3" s="936"/>
      <c r="G3" s="939"/>
      <c r="H3" s="936"/>
      <c r="I3" s="49" t="s">
        <v>117</v>
      </c>
      <c r="J3" s="49" t="s">
        <v>123</v>
      </c>
      <c r="K3" s="940"/>
      <c r="L3" s="940"/>
      <c r="M3" s="936"/>
      <c r="N3" s="540"/>
      <c r="O3" s="849"/>
    </row>
    <row r="4" spans="1:15" hidden="1">
      <c r="A4" s="1">
        <v>1</v>
      </c>
      <c r="B4" s="1"/>
      <c r="C4" s="52"/>
      <c r="D4" s="1"/>
      <c r="E4" s="1"/>
      <c r="F4" s="1" t="s">
        <v>165</v>
      </c>
      <c r="G4" s="1"/>
      <c r="H4" s="1"/>
      <c r="I4" s="37"/>
      <c r="J4" s="37"/>
      <c r="K4" s="67" t="e">
        <f>AVERAGE(I4:J4)</f>
        <v>#DIV/0!</v>
      </c>
      <c r="L4" s="37"/>
      <c r="M4" s="37" t="e">
        <f>K4*L4</f>
        <v>#DIV/0!</v>
      </c>
      <c r="N4" s="37"/>
    </row>
    <row r="5" spans="1:15" hidden="1">
      <c r="A5" s="1">
        <v>2</v>
      </c>
      <c r="B5" s="1"/>
      <c r="C5" s="52"/>
      <c r="D5" s="1"/>
      <c r="E5" s="1"/>
      <c r="F5" s="1" t="s">
        <v>165</v>
      </c>
      <c r="G5" s="1"/>
      <c r="H5" s="1"/>
      <c r="I5" s="37"/>
      <c r="J5" s="37"/>
      <c r="K5" s="67" t="e">
        <f t="shared" ref="K5:K13" si="0">AVERAGE(I5:J5)</f>
        <v>#DIV/0!</v>
      </c>
      <c r="L5" s="37"/>
      <c r="M5" s="37" t="e">
        <f t="shared" ref="M5:M7" si="1">K5*L5</f>
        <v>#DIV/0!</v>
      </c>
      <c r="N5" s="37"/>
    </row>
    <row r="6" spans="1:15" hidden="1">
      <c r="A6" s="1">
        <v>3</v>
      </c>
      <c r="B6" s="1"/>
      <c r="C6" s="52"/>
      <c r="D6" s="1"/>
      <c r="E6" s="1"/>
      <c r="F6" s="1" t="s">
        <v>436</v>
      </c>
      <c r="G6" s="1"/>
      <c r="H6" s="1"/>
      <c r="I6" s="37"/>
      <c r="J6" s="37"/>
      <c r="K6" s="67" t="e">
        <f t="shared" si="0"/>
        <v>#DIV/0!</v>
      </c>
      <c r="L6" s="37"/>
      <c r="M6" s="37" t="e">
        <f t="shared" si="1"/>
        <v>#DIV/0!</v>
      </c>
      <c r="N6" s="37"/>
    </row>
    <row r="7" spans="1:15" hidden="1">
      <c r="A7" s="1">
        <v>4</v>
      </c>
      <c r="B7" s="1"/>
      <c r="C7" s="52"/>
      <c r="D7" s="1"/>
      <c r="E7" s="1"/>
      <c r="F7" s="1" t="s">
        <v>436</v>
      </c>
      <c r="G7" s="1"/>
      <c r="H7" s="1"/>
      <c r="I7" s="37"/>
      <c r="J7" s="37"/>
      <c r="K7" s="67" t="e">
        <f t="shared" si="0"/>
        <v>#DIV/0!</v>
      </c>
      <c r="L7" s="37"/>
      <c r="M7" s="37" t="e">
        <f t="shared" si="1"/>
        <v>#DIV/0!</v>
      </c>
      <c r="N7" s="37"/>
    </row>
    <row r="8" spans="1:15">
      <c r="A8" s="1">
        <v>5</v>
      </c>
      <c r="B8" s="1"/>
      <c r="C8" s="52"/>
      <c r="D8" s="1"/>
      <c r="E8" s="1"/>
      <c r="F8" s="1" t="s">
        <v>35</v>
      </c>
      <c r="G8" s="1"/>
      <c r="H8" s="1"/>
      <c r="I8" s="37">
        <v>100</v>
      </c>
      <c r="J8" s="37">
        <v>100</v>
      </c>
      <c r="K8" s="67">
        <f>AVERAGE(I8:J8)</f>
        <v>100</v>
      </c>
      <c r="L8" s="37">
        <v>1</v>
      </c>
      <c r="M8" s="37">
        <f>K8*L8/1000</f>
        <v>0.1</v>
      </c>
      <c r="N8" s="37">
        <f>M8*(298/(273+'입력2(측정)'!T5)*('입력2(측정)'!M5/1013))</f>
        <v>9.8945533855523085E-2</v>
      </c>
    </row>
    <row r="9" spans="1:15">
      <c r="A9" s="1">
        <v>6</v>
      </c>
      <c r="B9" s="1"/>
      <c r="C9" s="52"/>
      <c r="D9" s="1"/>
      <c r="E9" s="1"/>
      <c r="F9" s="1" t="s">
        <v>35</v>
      </c>
      <c r="G9" s="1"/>
      <c r="H9" s="1"/>
      <c r="I9" s="37">
        <v>100</v>
      </c>
      <c r="J9" s="37">
        <v>100</v>
      </c>
      <c r="K9" s="67">
        <f t="shared" si="0"/>
        <v>100</v>
      </c>
      <c r="L9" s="37">
        <v>1</v>
      </c>
      <c r="M9" s="37">
        <f t="shared" ref="M9:M13" si="2">K9*L9/1000</f>
        <v>0.1</v>
      </c>
      <c r="N9" s="37">
        <f>M9*(298/(273+'입력2(측정)'!T6)*('입력2(측정)'!M6/1013))</f>
        <v>9.9107907169891041E-2</v>
      </c>
    </row>
    <row r="10" spans="1:15">
      <c r="A10" s="1">
        <v>7</v>
      </c>
      <c r="B10" s="1"/>
      <c r="C10" s="52"/>
      <c r="D10" s="1"/>
      <c r="E10" s="1"/>
      <c r="F10" s="1" t="s">
        <v>35</v>
      </c>
      <c r="G10" s="1"/>
      <c r="H10" s="1"/>
      <c r="I10" s="37">
        <v>100</v>
      </c>
      <c r="J10" s="37">
        <v>100</v>
      </c>
      <c r="K10" s="67">
        <f t="shared" si="0"/>
        <v>100</v>
      </c>
      <c r="L10" s="37">
        <v>1</v>
      </c>
      <c r="M10" s="37">
        <f t="shared" si="2"/>
        <v>0.1</v>
      </c>
      <c r="N10" s="37">
        <f>M10*(298/(273+'입력2(측정)'!T7)*('입력2(측정)'!M7/1013))</f>
        <v>9.8996266566327096E-2</v>
      </c>
    </row>
    <row r="11" spans="1:15">
      <c r="A11" s="1">
        <v>8</v>
      </c>
      <c r="B11" s="1"/>
      <c r="C11" s="52"/>
      <c r="D11" s="1"/>
      <c r="E11" s="1"/>
      <c r="F11" s="1" t="s">
        <v>35</v>
      </c>
      <c r="G11" s="1"/>
      <c r="H11" s="1"/>
      <c r="I11" s="37">
        <v>100</v>
      </c>
      <c r="J11" s="37">
        <v>100</v>
      </c>
      <c r="K11" s="67">
        <f t="shared" si="0"/>
        <v>100</v>
      </c>
      <c r="L11" s="37">
        <v>1</v>
      </c>
      <c r="M11" s="37">
        <f t="shared" si="2"/>
        <v>0.1</v>
      </c>
      <c r="N11" s="37" t="e">
        <f>M11*(298/(273+'입력2(측정)'!T8)*('입력2(측정)'!M8/1013))</f>
        <v>#DIV/0!</v>
      </c>
    </row>
    <row r="12" spans="1:15">
      <c r="A12" s="1">
        <v>9</v>
      </c>
      <c r="B12" s="1"/>
      <c r="C12" s="52"/>
      <c r="D12" s="1"/>
      <c r="E12" s="1"/>
      <c r="F12" s="1"/>
      <c r="G12" s="1"/>
      <c r="H12" s="1"/>
      <c r="I12" s="37">
        <v>100</v>
      </c>
      <c r="J12" s="37">
        <v>100</v>
      </c>
      <c r="K12" s="67">
        <f t="shared" si="0"/>
        <v>100</v>
      </c>
      <c r="L12" s="37">
        <v>1</v>
      </c>
      <c r="M12" s="37">
        <f t="shared" si="2"/>
        <v>0.1</v>
      </c>
      <c r="N12" s="37">
        <f>M12*(298/(273+'입력2(측정)'!T9)*('입력2(측정)'!M9/1013))</f>
        <v>9.8729533421989438E-2</v>
      </c>
    </row>
    <row r="13" spans="1:15">
      <c r="A13" s="1">
        <v>10</v>
      </c>
      <c r="B13" s="1"/>
      <c r="C13" s="52"/>
      <c r="D13" s="1"/>
      <c r="E13" s="1"/>
      <c r="F13" s="1"/>
      <c r="G13" s="1"/>
      <c r="H13" s="1"/>
      <c r="I13" s="37">
        <v>100</v>
      </c>
      <c r="J13" s="37">
        <v>100</v>
      </c>
      <c r="K13" s="67">
        <f t="shared" si="0"/>
        <v>100</v>
      </c>
      <c r="L13" s="37">
        <v>1</v>
      </c>
      <c r="M13" s="37">
        <f t="shared" si="2"/>
        <v>0.1</v>
      </c>
      <c r="N13" s="37">
        <f>M13*(298/(273+'입력2(측정)'!T10)*('입력2(측정)'!M10/1013))</f>
        <v>9.9116710643669836E-2</v>
      </c>
    </row>
    <row r="14" spans="1:15">
      <c r="G14" s="932" t="s">
        <v>355</v>
      </c>
      <c r="H14" s="933"/>
      <c r="I14" s="933"/>
      <c r="J14" s="933"/>
      <c r="K14" s="933"/>
      <c r="L14" s="933"/>
      <c r="M14" s="933"/>
      <c r="N14" s="934"/>
    </row>
    <row r="15" spans="1:15">
      <c r="G15" s="1"/>
      <c r="H15" s="1"/>
      <c r="I15" s="320">
        <f>'입력2(측정)'!N57</f>
        <v>0</v>
      </c>
      <c r="J15" s="320">
        <f>'입력2(측정)'!P57</f>
        <v>0</v>
      </c>
      <c r="K15" s="321">
        <f>AVERAGE(I15:J15)</f>
        <v>0</v>
      </c>
      <c r="L15" s="37">
        <v>120</v>
      </c>
      <c r="M15" s="37">
        <f>L15*K15</f>
        <v>0</v>
      </c>
      <c r="N15" s="37">
        <f>M15*(298/(273+'입력2(측정)'!H57)*('입력2(측정)'!L57/1013))</f>
        <v>0</v>
      </c>
    </row>
    <row r="16" spans="1:15">
      <c r="G16" s="1"/>
      <c r="H16" s="1"/>
      <c r="I16" s="320">
        <f>'입력2(측정)'!N58</f>
        <v>0</v>
      </c>
      <c r="J16" s="320">
        <f>'입력2(측정)'!P58</f>
        <v>0</v>
      </c>
      <c r="K16" s="321">
        <f t="shared" ref="K16:K20" si="3">AVERAGE(I16:J16)</f>
        <v>0</v>
      </c>
      <c r="L16" s="37">
        <v>120</v>
      </c>
      <c r="M16" s="37">
        <f t="shared" ref="M16:M20" si="4">L16*K16</f>
        <v>0</v>
      </c>
      <c r="N16" s="37">
        <f>M16*(298/(273+'입력2(측정)'!H58)*('입력2(측정)'!L58/1013))</f>
        <v>0</v>
      </c>
    </row>
    <row r="17" spans="7:14">
      <c r="G17" s="1"/>
      <c r="H17" s="1"/>
      <c r="I17" s="320">
        <f>'입력2(측정)'!N59</f>
        <v>0</v>
      </c>
      <c r="J17" s="320">
        <f>'입력2(측정)'!P59</f>
        <v>0</v>
      </c>
      <c r="K17" s="321">
        <f t="shared" si="3"/>
        <v>0</v>
      </c>
      <c r="L17" s="37">
        <v>120</v>
      </c>
      <c r="M17" s="37">
        <f t="shared" si="4"/>
        <v>0</v>
      </c>
      <c r="N17" s="37">
        <f>M17*(298/(273+'입력2(측정)'!H59)*('입력2(측정)'!L59/1013))</f>
        <v>0</v>
      </c>
    </row>
    <row r="18" spans="7:14">
      <c r="G18" s="1"/>
      <c r="H18" s="1"/>
      <c r="I18" s="320">
        <f>'입력2(측정)'!N60</f>
        <v>0</v>
      </c>
      <c r="J18" s="320">
        <f>'입력2(측정)'!P60</f>
        <v>0</v>
      </c>
      <c r="K18" s="321">
        <f t="shared" si="3"/>
        <v>0</v>
      </c>
      <c r="L18" s="37">
        <v>120</v>
      </c>
      <c r="M18" s="37">
        <f t="shared" si="4"/>
        <v>0</v>
      </c>
      <c r="N18" s="37">
        <f>M18*(298/(273+'입력2(측정)'!H60)*('입력2(측정)'!L60/1013))</f>
        <v>0</v>
      </c>
    </row>
    <row r="19" spans="7:14">
      <c r="G19" s="1"/>
      <c r="H19" s="1"/>
      <c r="I19" s="320">
        <f>'입력2(측정)'!N61</f>
        <v>0</v>
      </c>
      <c r="J19" s="320">
        <f>'입력2(측정)'!P61</f>
        <v>0</v>
      </c>
      <c r="K19" s="321">
        <f t="shared" si="3"/>
        <v>0</v>
      </c>
      <c r="L19" s="37">
        <v>120</v>
      </c>
      <c r="M19" s="37">
        <f t="shared" si="4"/>
        <v>0</v>
      </c>
      <c r="N19" s="37">
        <f>M19*(298/(273+'입력2(측정)'!H61)*('입력2(측정)'!L61/1013))</f>
        <v>0</v>
      </c>
    </row>
    <row r="20" spans="7:14">
      <c r="G20" s="1"/>
      <c r="H20" s="1"/>
      <c r="I20" s="320">
        <f>'입력2(측정)'!N62</f>
        <v>0</v>
      </c>
      <c r="J20" s="320">
        <f>'입력2(측정)'!P62</f>
        <v>0</v>
      </c>
      <c r="K20" s="321">
        <f t="shared" si="3"/>
        <v>0</v>
      </c>
      <c r="L20" s="37">
        <v>120</v>
      </c>
      <c r="M20" s="37">
        <f t="shared" si="4"/>
        <v>0</v>
      </c>
      <c r="N20" s="37">
        <f>M20*(298/(273+'입력2(측정)'!H62)*('입력2(측정)'!L62/1013))</f>
        <v>0</v>
      </c>
    </row>
  </sheetData>
  <mergeCells count="16">
    <mergeCell ref="N2:N3"/>
    <mergeCell ref="O2:O3"/>
    <mergeCell ref="G14:N14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M2:M3"/>
  </mergeCells>
  <phoneticPr fontId="37" type="noConversion"/>
  <pageMargins left="0.74805557727813721" right="0.74805557727813721" top="0.98430556058883667" bottom="0.98430556058883667" header="0.51138889789581299" footer="0.51138889789581299"/>
  <pageSetup paperSize="9" scale="44" fitToWidth="0" fitToHeight="0" orientation="portrait" r:id="rId1"/>
  <rowBreaks count="1" manualBreakCount="1">
    <brk id="20" max="1048575" man="1"/>
  </rowBreaks>
  <colBreaks count="1" manualBreakCount="1">
    <brk id="14" max="1638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00000000-0002-0000-0700-000000000000}">
          <x14:formula1>
            <xm:f>'드롭다운 메뉴_지우지말것!'!$G$2:$G$4</xm:f>
          </x14:formula1>
          <xm:sqref>B4</xm:sqref>
        </x14:dataValidation>
        <x14:dataValidation type="list" operator="equal" allowBlank="1" showInputMessage="1" showErrorMessage="1" xr:uid="{00000000-0002-0000-0700-000001000000}">
          <x14:formula1>
            <xm:f>'드롭다운 메뉴_지우지말것!'!$H$2:$H$7</xm:f>
          </x14:formula1>
          <xm:sqref>F4:F13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Z45"/>
  <sheetViews>
    <sheetView view="pageBreakPreview" topLeftCell="A25" zoomScaleNormal="100" zoomScaleSheetLayoutView="100" workbookViewId="0">
      <selection activeCell="K20" sqref="K20:N20"/>
    </sheetView>
  </sheetViews>
  <sheetFormatPr defaultColWidth="9" defaultRowHeight="16.5"/>
  <cols>
    <col min="1" max="1" width="9" bestFit="1" customWidth="1"/>
    <col min="2" max="2" width="11.875" customWidth="1"/>
    <col min="3" max="22" width="3.375" customWidth="1"/>
    <col min="23" max="26" width="5" customWidth="1"/>
  </cols>
  <sheetData>
    <row r="1" spans="1:26" ht="20.25">
      <c r="A1" s="941" t="s">
        <v>392</v>
      </c>
      <c r="B1" s="941"/>
      <c r="C1" s="941"/>
      <c r="D1" s="941"/>
      <c r="E1" s="941"/>
      <c r="F1" s="941"/>
      <c r="G1" s="941"/>
      <c r="H1" s="941"/>
      <c r="I1" s="941"/>
      <c r="J1" s="941"/>
      <c r="K1" s="941"/>
      <c r="L1" s="941"/>
      <c r="M1" s="941"/>
      <c r="N1" s="941"/>
      <c r="O1" s="942"/>
      <c r="P1" s="942"/>
      <c r="Q1" s="942"/>
      <c r="R1" s="942"/>
      <c r="W1" s="943" t="s">
        <v>12</v>
      </c>
      <c r="X1" s="944"/>
      <c r="Y1" s="943" t="s">
        <v>26</v>
      </c>
      <c r="Z1" s="944"/>
    </row>
    <row r="2" spans="1:26" ht="27" customHeight="1">
      <c r="A2" s="945" t="s">
        <v>296</v>
      </c>
      <c r="B2" s="945"/>
      <c r="C2" s="94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46"/>
      <c r="P2" s="946"/>
      <c r="Q2" s="946"/>
      <c r="R2" s="946"/>
      <c r="W2" s="947"/>
      <c r="X2" s="948"/>
      <c r="Y2" s="947"/>
      <c r="Z2" s="948"/>
    </row>
    <row r="3" spans="1:26" ht="16.7" customHeight="1">
      <c r="A3" s="949" t="s">
        <v>29</v>
      </c>
      <c r="B3" s="950"/>
      <c r="C3" s="951" t="str">
        <f>'입력1(학교시설명 등 기본사항 입력) 보고서1,2'!C2</f>
        <v>평촌경영고등학교</v>
      </c>
      <c r="D3" s="951"/>
      <c r="E3" s="951"/>
      <c r="F3" s="951"/>
      <c r="G3" s="951"/>
      <c r="H3" s="951"/>
      <c r="I3" s="950" t="s">
        <v>28</v>
      </c>
      <c r="J3" s="950"/>
      <c r="K3" s="950"/>
      <c r="L3" s="950"/>
      <c r="M3" s="952" t="str">
        <f>'입력1(학교시설명 등 기본사항 입력) 보고서1,2'!C2</f>
        <v>평촌경영고등학교</v>
      </c>
      <c r="N3" s="953"/>
      <c r="O3" s="953"/>
      <c r="P3" s="953"/>
      <c r="Q3" s="953"/>
      <c r="R3" s="953"/>
      <c r="S3" s="953"/>
      <c r="T3" s="953"/>
      <c r="U3" s="953"/>
      <c r="V3" s="953"/>
      <c r="W3" s="953"/>
      <c r="X3" s="953"/>
      <c r="Y3" s="953"/>
      <c r="Z3" s="954"/>
    </row>
    <row r="4" spans="1:26">
      <c r="A4" s="955" t="s">
        <v>23</v>
      </c>
      <c r="B4" s="956"/>
      <c r="C4" s="957" t="str">
        <f>'입력1(학교시설명 등 기본사항 입력) 보고서1,2'!C13</f>
        <v>2026.06.10</v>
      </c>
      <c r="D4" s="957"/>
      <c r="E4" s="957"/>
      <c r="F4" s="957"/>
      <c r="G4" s="957"/>
      <c r="H4" s="957"/>
      <c r="I4" s="956" t="s">
        <v>25</v>
      </c>
      <c r="J4" s="956"/>
      <c r="K4" s="956"/>
      <c r="L4" s="956"/>
      <c r="M4" s="958" t="s">
        <v>503</v>
      </c>
      <c r="N4" s="959"/>
      <c r="O4" s="959"/>
      <c r="P4" s="959"/>
      <c r="Q4" s="959"/>
      <c r="R4" s="959"/>
      <c r="S4" s="959"/>
      <c r="T4" s="959"/>
      <c r="U4" s="959"/>
      <c r="V4" s="959"/>
      <c r="W4" s="959"/>
      <c r="X4" s="959"/>
      <c r="Y4" s="959"/>
      <c r="Z4" s="960"/>
    </row>
    <row r="5" spans="1:26">
      <c r="A5" s="955" t="s">
        <v>15</v>
      </c>
      <c r="B5" s="956"/>
      <c r="C5" s="931" t="str">
        <f>'입력1(학교시설명 등 기본사항 입력) 보고서1,2'!I15</f>
        <v>박정식</v>
      </c>
      <c r="D5" s="931"/>
      <c r="E5" s="931"/>
      <c r="F5" s="931"/>
      <c r="G5" s="931"/>
      <c r="H5" s="931"/>
      <c r="I5" s="956" t="s">
        <v>22</v>
      </c>
      <c r="J5" s="956"/>
      <c r="K5" s="956"/>
      <c r="L5" s="956"/>
      <c r="M5" s="961" t="str">
        <f>'입력2(측정)'!B1</f>
        <v>유재혁</v>
      </c>
      <c r="N5" s="962"/>
      <c r="O5" s="962"/>
      <c r="P5" s="962"/>
      <c r="Q5" s="962"/>
      <c r="R5" s="962"/>
      <c r="S5" s="962"/>
      <c r="T5" s="962"/>
      <c r="U5" s="962"/>
      <c r="V5" s="962"/>
      <c r="W5" s="962"/>
      <c r="X5" s="962"/>
      <c r="Y5" s="962"/>
      <c r="Z5" s="963"/>
    </row>
    <row r="6" spans="1:26" ht="13.5" customHeight="1">
      <c r="A6" s="964" t="s">
        <v>20</v>
      </c>
      <c r="B6" s="965"/>
      <c r="C6" s="968" t="str">
        <f>'입력2(측정)'!$B46</f>
        <v>5층 2-11반</v>
      </c>
      <c r="D6" s="969"/>
      <c r="E6" s="969"/>
      <c r="F6" s="970"/>
      <c r="G6" s="968" t="str">
        <f>'입력2(측정)'!B47</f>
        <v>4층 2-4반</v>
      </c>
      <c r="H6" s="969"/>
      <c r="I6" s="969"/>
      <c r="J6" s="970"/>
      <c r="K6" s="968" t="str">
        <f>'입력2(측정)'!B48</f>
        <v>1층 (도제)회계실무실습실</v>
      </c>
      <c r="L6" s="969"/>
      <c r="M6" s="969"/>
      <c r="N6" s="970"/>
      <c r="O6" s="968">
        <f>'입력2(측정)'!B49</f>
        <v>0</v>
      </c>
      <c r="P6" s="969"/>
      <c r="Q6" s="969"/>
      <c r="R6" s="970"/>
      <c r="S6" s="968" t="s">
        <v>187</v>
      </c>
      <c r="T6" s="969"/>
      <c r="U6" s="969"/>
      <c r="V6" s="970"/>
      <c r="W6" s="968" t="s">
        <v>187</v>
      </c>
      <c r="X6" s="969"/>
      <c r="Y6" s="969"/>
      <c r="Z6" s="970"/>
    </row>
    <row r="7" spans="1:26" ht="9.75" customHeight="1">
      <c r="A7" s="966"/>
      <c r="B7" s="967"/>
      <c r="C7" s="971"/>
      <c r="D7" s="972"/>
      <c r="E7" s="972"/>
      <c r="F7" s="973"/>
      <c r="G7" s="971"/>
      <c r="H7" s="972"/>
      <c r="I7" s="972"/>
      <c r="J7" s="973"/>
      <c r="K7" s="971"/>
      <c r="L7" s="972"/>
      <c r="M7" s="972"/>
      <c r="N7" s="973"/>
      <c r="O7" s="971"/>
      <c r="P7" s="972"/>
      <c r="Q7" s="972"/>
      <c r="R7" s="973"/>
      <c r="S7" s="971"/>
      <c r="T7" s="972"/>
      <c r="U7" s="972"/>
      <c r="V7" s="973"/>
      <c r="W7" s="971"/>
      <c r="X7" s="972"/>
      <c r="Y7" s="972"/>
      <c r="Z7" s="973"/>
    </row>
    <row r="8" spans="1:26">
      <c r="A8" s="974" t="s">
        <v>39</v>
      </c>
      <c r="B8" s="975"/>
      <c r="C8" s="976">
        <f>보고서3!G95</f>
        <v>25.5</v>
      </c>
      <c r="D8" s="976"/>
      <c r="E8" s="976"/>
      <c r="F8" s="976"/>
      <c r="G8" s="976">
        <f>보고서3!G96</f>
        <v>25.099999999999998</v>
      </c>
      <c r="H8" s="976"/>
      <c r="I8" s="976"/>
      <c r="J8" s="976"/>
      <c r="K8" s="976">
        <f>보고서3!G97</f>
        <v>25.733333333333334</v>
      </c>
      <c r="L8" s="976"/>
      <c r="M8" s="976"/>
      <c r="N8" s="976"/>
      <c r="O8" s="976" t="str">
        <f>보고서3!G98</f>
        <v>-</v>
      </c>
      <c r="P8" s="976"/>
      <c r="Q8" s="976"/>
      <c r="R8" s="976"/>
      <c r="S8" s="976" t="s">
        <v>187</v>
      </c>
      <c r="T8" s="976"/>
      <c r="U8" s="976"/>
      <c r="V8" s="976"/>
      <c r="W8" s="976" t="s">
        <v>187</v>
      </c>
      <c r="X8" s="976"/>
      <c r="Y8" s="976"/>
      <c r="Z8" s="976"/>
    </row>
    <row r="9" spans="1:26">
      <c r="A9" s="974" t="s">
        <v>38</v>
      </c>
      <c r="B9" s="975"/>
      <c r="C9" s="976">
        <f>보고서3!G102</f>
        <v>41.389999999999993</v>
      </c>
      <c r="D9" s="976"/>
      <c r="E9" s="976"/>
      <c r="F9" s="976"/>
      <c r="G9" s="977">
        <f>보고서3!G103</f>
        <v>45.666666666666664</v>
      </c>
      <c r="H9" s="977"/>
      <c r="I9" s="977"/>
      <c r="J9" s="977"/>
      <c r="K9" s="978">
        <f>보고서3!G104</f>
        <v>51.70000000000001</v>
      </c>
      <c r="L9" s="978"/>
      <c r="M9" s="978"/>
      <c r="N9" s="978"/>
      <c r="O9" s="978" t="str">
        <f>보고서3!G105</f>
        <v>-</v>
      </c>
      <c r="P9" s="978"/>
      <c r="Q9" s="978"/>
      <c r="R9" s="978"/>
      <c r="S9" s="978" t="s">
        <v>187</v>
      </c>
      <c r="T9" s="978"/>
      <c r="U9" s="978"/>
      <c r="V9" s="978"/>
      <c r="W9" s="978" t="s">
        <v>187</v>
      </c>
      <c r="X9" s="978"/>
      <c r="Y9" s="978"/>
      <c r="Z9" s="979"/>
    </row>
    <row r="10" spans="1:26">
      <c r="A10" s="980" t="s">
        <v>396</v>
      </c>
      <c r="B10" s="981"/>
      <c r="C10" s="982">
        <f>'입력2(측정)'!M5</f>
        <v>1004</v>
      </c>
      <c r="D10" s="982"/>
      <c r="E10" s="982"/>
      <c r="F10" s="982"/>
      <c r="G10" s="983">
        <f>'입력2(측정)'!M6</f>
        <v>1004.3</v>
      </c>
      <c r="H10" s="983"/>
      <c r="I10" s="983"/>
      <c r="J10" s="983"/>
      <c r="K10" s="984">
        <f>'입력2(측정)'!M7</f>
        <v>1005.3</v>
      </c>
      <c r="L10" s="984"/>
      <c r="M10" s="984"/>
      <c r="N10" s="984"/>
      <c r="O10" s="984">
        <f>'입력2(측정)'!M8</f>
        <v>0</v>
      </c>
      <c r="P10" s="984"/>
      <c r="Q10" s="984"/>
      <c r="R10" s="984"/>
      <c r="S10" s="984" t="s">
        <v>187</v>
      </c>
      <c r="T10" s="984"/>
      <c r="U10" s="984"/>
      <c r="V10" s="984"/>
      <c r="W10" s="984" t="s">
        <v>187</v>
      </c>
      <c r="X10" s="984"/>
      <c r="Y10" s="984"/>
      <c r="Z10" s="985"/>
    </row>
    <row r="11" spans="1:26">
      <c r="A11" s="9"/>
      <c r="B11" s="9"/>
      <c r="C11" s="136"/>
      <c r="D11" s="136"/>
      <c r="E11" s="136"/>
      <c r="F11" s="136"/>
      <c r="G11" s="137"/>
      <c r="H11" s="137"/>
      <c r="I11" s="137"/>
      <c r="J11" s="137"/>
      <c r="K11" s="138"/>
      <c r="L11" s="138"/>
      <c r="M11" s="138"/>
      <c r="N11" s="138"/>
      <c r="O11" s="138"/>
      <c r="P11" s="138"/>
      <c r="Q11" s="138"/>
      <c r="R11" s="138"/>
    </row>
    <row r="12" spans="1:26" ht="60" customHeight="1">
      <c r="A12" s="986" t="s">
        <v>2</v>
      </c>
      <c r="B12" s="987"/>
      <c r="C12" s="987"/>
      <c r="D12" s="987"/>
      <c r="E12" s="987"/>
      <c r="F12" s="987"/>
      <c r="G12" s="987"/>
      <c r="H12" s="987"/>
      <c r="I12" s="987"/>
      <c r="J12" s="987"/>
      <c r="K12" s="987"/>
      <c r="L12" s="987"/>
      <c r="M12" s="987"/>
      <c r="N12" s="987"/>
      <c r="O12" s="987"/>
      <c r="P12" s="987"/>
      <c r="Q12" s="987"/>
      <c r="R12" s="987"/>
      <c r="S12" s="987"/>
      <c r="T12" s="987"/>
      <c r="U12" s="987"/>
      <c r="V12" s="987"/>
      <c r="W12" s="987"/>
      <c r="X12" s="987"/>
      <c r="Y12" s="987"/>
      <c r="Z12" s="988"/>
    </row>
    <row r="13" spans="1:26">
      <c r="A13" s="989"/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989"/>
      <c r="O13" s="989"/>
      <c r="P13" s="989"/>
      <c r="Q13" s="989"/>
      <c r="R13" s="989"/>
    </row>
    <row r="14" spans="1:26">
      <c r="A14" s="990" t="s">
        <v>36</v>
      </c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  <c r="N14" s="990"/>
      <c r="O14" s="990"/>
      <c r="P14" s="990"/>
      <c r="Q14" s="990"/>
      <c r="R14" s="990"/>
    </row>
    <row r="15" spans="1:26">
      <c r="A15" s="991" t="s">
        <v>395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992"/>
      <c r="O15" s="992"/>
      <c r="P15" s="992"/>
      <c r="Q15" s="992"/>
      <c r="R15" s="992"/>
      <c r="S15" s="992"/>
      <c r="T15" s="992"/>
      <c r="U15" s="992"/>
      <c r="V15" s="992"/>
      <c r="W15" s="992"/>
      <c r="X15" s="992"/>
      <c r="Y15" s="992"/>
      <c r="Z15" s="992"/>
    </row>
    <row r="16" spans="1:26" ht="73.5" customHeight="1">
      <c r="A16" s="993"/>
      <c r="B16" s="536"/>
      <c r="C16" s="536"/>
      <c r="D16" s="536"/>
      <c r="E16" s="536"/>
      <c r="F16" s="536"/>
      <c r="G16" s="536"/>
      <c r="H16" s="536"/>
      <c r="I16" s="536"/>
      <c r="J16" s="537"/>
      <c r="K16" s="994" t="s">
        <v>324</v>
      </c>
      <c r="L16" s="995"/>
      <c r="M16" s="995"/>
      <c r="N16" s="995"/>
      <c r="O16" s="995"/>
      <c r="P16" s="995"/>
      <c r="Q16" s="995"/>
      <c r="R16" s="995"/>
      <c r="S16" s="995"/>
      <c r="T16" s="995"/>
      <c r="U16" s="995"/>
      <c r="V16" s="995"/>
      <c r="W16" s="995"/>
      <c r="X16" s="995"/>
      <c r="Y16" s="995"/>
      <c r="Z16" s="995"/>
    </row>
    <row r="17" spans="1:26">
      <c r="A17" s="996"/>
      <c r="B17" s="849"/>
      <c r="C17" s="849"/>
      <c r="D17" s="849"/>
      <c r="E17" s="849"/>
      <c r="F17" s="849"/>
      <c r="G17" s="849"/>
      <c r="H17" s="849"/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</row>
    <row r="18" spans="1:26">
      <c r="A18" s="997" t="s">
        <v>20</v>
      </c>
      <c r="B18" s="998"/>
      <c r="C18" s="999" t="str">
        <f>C6</f>
        <v>5층 2-11반</v>
      </c>
      <c r="D18" s="950"/>
      <c r="E18" s="950"/>
      <c r="F18" s="950"/>
      <c r="G18" s="999" t="str">
        <f>G6</f>
        <v>4층 2-4반</v>
      </c>
      <c r="H18" s="950"/>
      <c r="I18" s="950"/>
      <c r="J18" s="950"/>
      <c r="K18" s="1001" t="str">
        <f>K6</f>
        <v>1층 (도제)회계실무실습실</v>
      </c>
      <c r="L18" s="1002"/>
      <c r="M18" s="1002"/>
      <c r="N18" s="1003"/>
      <c r="O18" s="999">
        <f>O6</f>
        <v>0</v>
      </c>
      <c r="P18" s="950"/>
      <c r="Q18" s="950"/>
      <c r="R18" s="1000"/>
      <c r="S18" s="999" t="str">
        <f>S6</f>
        <v>-</v>
      </c>
      <c r="T18" s="950"/>
      <c r="U18" s="950"/>
      <c r="V18" s="950"/>
      <c r="W18" s="999" t="str">
        <f>W6</f>
        <v>-</v>
      </c>
      <c r="X18" s="950"/>
      <c r="Y18" s="950"/>
      <c r="Z18" s="1000"/>
    </row>
    <row r="19" spans="1:26" ht="41.25" customHeight="1">
      <c r="A19" s="1004" t="s">
        <v>483</v>
      </c>
      <c r="B19" s="4" t="s">
        <v>13</v>
      </c>
      <c r="C19" s="1008"/>
      <c r="D19" s="1008"/>
      <c r="E19" s="1008"/>
      <c r="F19" s="1008"/>
      <c r="G19" s="1008"/>
      <c r="H19" s="1008"/>
      <c r="I19" s="1008"/>
      <c r="J19" s="1009"/>
      <c r="K19" s="1010" t="s">
        <v>325</v>
      </c>
      <c r="L19" s="1011"/>
      <c r="M19" s="1011"/>
      <c r="N19" s="1011"/>
      <c r="O19" s="1011"/>
      <c r="P19" s="1011"/>
      <c r="Q19" s="1011"/>
      <c r="R19" s="1011"/>
      <c r="S19" s="1011"/>
      <c r="T19" s="1011"/>
      <c r="U19" s="1011"/>
      <c r="V19" s="1011"/>
      <c r="W19" s="1011"/>
      <c r="X19" s="1011"/>
      <c r="Y19" s="1011"/>
      <c r="Z19" s="1012"/>
    </row>
    <row r="20" spans="1:26">
      <c r="A20" s="1005"/>
      <c r="B20" s="4" t="s">
        <v>21</v>
      </c>
      <c r="C20" s="1013" t="s">
        <v>151</v>
      </c>
      <c r="D20" s="1014"/>
      <c r="E20" s="1014"/>
      <c r="F20" s="1014"/>
      <c r="G20" s="1013" t="s">
        <v>60</v>
      </c>
      <c r="H20" s="1014"/>
      <c r="I20" s="1014"/>
      <c r="J20" s="1014"/>
      <c r="K20" s="1013" t="s">
        <v>65</v>
      </c>
      <c r="L20" s="1014"/>
      <c r="M20" s="1014"/>
      <c r="N20" s="1014"/>
      <c r="O20" s="1013" t="s">
        <v>187</v>
      </c>
      <c r="P20" s="1014"/>
      <c r="Q20" s="1014"/>
      <c r="R20" s="1014"/>
      <c r="S20" s="1013" t="s">
        <v>187</v>
      </c>
      <c r="T20" s="1014"/>
      <c r="U20" s="1014"/>
      <c r="V20" s="1014"/>
      <c r="W20" s="1013" t="s">
        <v>187</v>
      </c>
      <c r="X20" s="1014"/>
      <c r="Y20" s="1014"/>
      <c r="Z20" s="1014"/>
    </row>
    <row r="21" spans="1:26">
      <c r="A21" s="1006"/>
      <c r="B21" s="5" t="s">
        <v>189</v>
      </c>
      <c r="C21" s="1015">
        <f>C22/C23</f>
        <v>80.852562902751416</v>
      </c>
      <c r="D21" s="1016"/>
      <c r="E21" s="1016"/>
      <c r="F21" s="1016"/>
      <c r="G21" s="1015">
        <f>G22/G23</f>
        <v>242.16029462572683</v>
      </c>
      <c r="H21" s="1016"/>
      <c r="I21" s="1016"/>
      <c r="J21" s="1016"/>
      <c r="K21" s="1015">
        <f>K22/K23</f>
        <v>30.304173117377232</v>
      </c>
      <c r="L21" s="1016"/>
      <c r="M21" s="1016"/>
      <c r="N21" s="1016"/>
      <c r="O21" s="1015" t="s">
        <v>187</v>
      </c>
      <c r="P21" s="1016"/>
      <c r="Q21" s="1016"/>
      <c r="R21" s="1016"/>
      <c r="S21" s="1015" t="s">
        <v>187</v>
      </c>
      <c r="T21" s="1016"/>
      <c r="U21" s="1016"/>
      <c r="V21" s="1016"/>
      <c r="W21" s="1015" t="s">
        <v>187</v>
      </c>
      <c r="X21" s="1016"/>
      <c r="Y21" s="1016"/>
      <c r="Z21" s="1016"/>
    </row>
    <row r="22" spans="1:26">
      <c r="A22" s="1006"/>
      <c r="B22" s="5" t="s">
        <v>272</v>
      </c>
      <c r="C22" s="1017">
        <f>'입력2(측정)'!Y46</f>
        <v>8</v>
      </c>
      <c r="D22" s="1018"/>
      <c r="E22" s="1018"/>
      <c r="F22" s="1019"/>
      <c r="G22" s="1020">
        <f>'입력2(측정)'!Y47</f>
        <v>24</v>
      </c>
      <c r="H22" s="1018"/>
      <c r="I22" s="1018"/>
      <c r="J22" s="1018"/>
      <c r="K22" s="1017">
        <f>'입력2(측정)'!Y48</f>
        <v>3</v>
      </c>
      <c r="L22" s="1018"/>
      <c r="M22" s="1018"/>
      <c r="N22" s="1018"/>
      <c r="O22" s="1017" t="s">
        <v>187</v>
      </c>
      <c r="P22" s="1018"/>
      <c r="Q22" s="1018"/>
      <c r="R22" s="1018"/>
      <c r="S22" s="1017" t="s">
        <v>187</v>
      </c>
      <c r="T22" s="1018"/>
      <c r="U22" s="1018"/>
      <c r="V22" s="1018"/>
      <c r="W22" s="1017" t="s">
        <v>187</v>
      </c>
      <c r="X22" s="1018"/>
      <c r="Y22" s="1018"/>
      <c r="Z22" s="1018"/>
    </row>
    <row r="23" spans="1:26">
      <c r="A23" s="1006"/>
      <c r="B23" s="6" t="s">
        <v>329</v>
      </c>
      <c r="C23" s="1021">
        <f>'포집유량 보정'!N8</f>
        <v>9.8945533855523085E-2</v>
      </c>
      <c r="D23" s="1022"/>
      <c r="E23" s="1022"/>
      <c r="F23" s="1023"/>
      <c r="G23" s="1021">
        <f>'포집유량 보정'!N9</f>
        <v>9.9107907169891041E-2</v>
      </c>
      <c r="H23" s="1022"/>
      <c r="I23" s="1022"/>
      <c r="J23" s="1023"/>
      <c r="K23" s="1021">
        <f>'포집유량 보정'!N10</f>
        <v>9.8996266566327096E-2</v>
      </c>
      <c r="L23" s="1022"/>
      <c r="M23" s="1022"/>
      <c r="N23" s="1023"/>
      <c r="O23" s="1021" t="s">
        <v>187</v>
      </c>
      <c r="P23" s="1022"/>
      <c r="Q23" s="1022"/>
      <c r="R23" s="1023"/>
      <c r="S23" s="1021" t="s">
        <v>187</v>
      </c>
      <c r="T23" s="1022"/>
      <c r="U23" s="1022"/>
      <c r="V23" s="1023"/>
      <c r="W23" s="1021" t="s">
        <v>187</v>
      </c>
      <c r="X23" s="1022"/>
      <c r="Y23" s="1022"/>
      <c r="Z23" s="1023"/>
    </row>
    <row r="24" spans="1:26">
      <c r="A24" s="1007"/>
      <c r="B24" s="7" t="s">
        <v>198</v>
      </c>
      <c r="C24" s="1024">
        <f>'포집유량 보정'!N8</f>
        <v>9.8945533855523085E-2</v>
      </c>
      <c r="D24" s="1025"/>
      <c r="E24" s="1025"/>
      <c r="F24" s="1026"/>
      <c r="G24" s="1024">
        <f>'포집유량 보정'!N9</f>
        <v>9.9107907169891041E-2</v>
      </c>
      <c r="H24" s="1025"/>
      <c r="I24" s="1025"/>
      <c r="J24" s="1026"/>
      <c r="K24" s="1024">
        <f>'포집유량 보정'!N10</f>
        <v>9.8996266566327096E-2</v>
      </c>
      <c r="L24" s="1025"/>
      <c r="M24" s="1025"/>
      <c r="N24" s="1026"/>
      <c r="O24" s="1024" t="s">
        <v>187</v>
      </c>
      <c r="P24" s="1025"/>
      <c r="Q24" s="1025"/>
      <c r="R24" s="1026"/>
      <c r="S24" s="1024" t="s">
        <v>187</v>
      </c>
      <c r="T24" s="1025"/>
      <c r="U24" s="1025"/>
      <c r="V24" s="1026"/>
      <c r="W24" s="1024" t="s">
        <v>187</v>
      </c>
      <c r="X24" s="1025"/>
      <c r="Y24" s="1025"/>
      <c r="Z24" s="1026"/>
    </row>
    <row r="25" spans="1:26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1"/>
      <c r="L25" s="11"/>
      <c r="M25" s="11"/>
      <c r="N25" s="11"/>
      <c r="O25" s="11"/>
      <c r="P25" s="11"/>
      <c r="Q25" s="11"/>
      <c r="R25" s="11"/>
    </row>
    <row r="26" spans="1:26">
      <c r="A26" s="1027" t="s">
        <v>14</v>
      </c>
      <c r="B26" s="1027"/>
      <c r="C26" s="1027"/>
      <c r="D26" s="1027"/>
      <c r="E26" s="1027"/>
      <c r="F26" s="1027"/>
      <c r="G26" s="1027"/>
      <c r="H26" s="1027"/>
      <c r="I26" s="1027"/>
      <c r="J26" s="1027"/>
      <c r="K26" s="1027"/>
      <c r="L26" s="1027"/>
      <c r="M26" s="1027"/>
      <c r="N26" s="1027"/>
      <c r="O26" s="1027"/>
      <c r="P26" s="1027"/>
      <c r="Q26" s="1027"/>
      <c r="R26" s="1027"/>
    </row>
    <row r="27" spans="1:26" ht="16.7" customHeight="1">
      <c r="A27" s="1028" t="s">
        <v>20</v>
      </c>
      <c r="B27" s="1029"/>
      <c r="C27" s="1030" t="s">
        <v>197</v>
      </c>
      <c r="D27" s="1031"/>
      <c r="E27" s="1031"/>
      <c r="F27" s="1031"/>
      <c r="G27" s="1031"/>
      <c r="H27" s="1031"/>
      <c r="I27" s="1031"/>
      <c r="J27" s="1031"/>
      <c r="K27" s="1031"/>
      <c r="L27" s="1031"/>
      <c r="M27" s="1031"/>
      <c r="N27" s="1031"/>
      <c r="O27" s="1031"/>
      <c r="P27" s="1031"/>
      <c r="Q27" s="1031"/>
      <c r="R27" s="1031"/>
      <c r="S27" s="1031"/>
      <c r="T27" s="1031"/>
      <c r="U27" s="1031"/>
      <c r="V27" s="1031"/>
      <c r="W27" s="1031"/>
      <c r="X27" s="1031"/>
      <c r="Y27" s="1031"/>
      <c r="Z27" s="1032"/>
    </row>
    <row r="28" spans="1:26">
      <c r="A28" s="1033" t="str">
        <f>C18</f>
        <v>5층 2-11반</v>
      </c>
      <c r="B28" s="1034"/>
      <c r="C28" s="12"/>
      <c r="D28" s="1039"/>
      <c r="E28" s="1039"/>
      <c r="F28" s="1039"/>
      <c r="G28" s="1039"/>
      <c r="H28" s="1039"/>
      <c r="I28" s="1039"/>
      <c r="J28" s="1039"/>
      <c r="K28" s="1039"/>
      <c r="L28" s="1040">
        <f>C22</f>
        <v>8</v>
      </c>
      <c r="M28" s="1040"/>
      <c r="N28" s="1040"/>
      <c r="O28" s="1040"/>
      <c r="P28" s="1040"/>
      <c r="Q28" s="1040"/>
      <c r="R28" s="1040"/>
      <c r="S28" s="1040"/>
      <c r="T28" s="268"/>
      <c r="U28" s="268"/>
      <c r="V28" s="268"/>
      <c r="W28" s="268"/>
      <c r="X28" s="268"/>
      <c r="Y28" s="268"/>
      <c r="Z28" s="274"/>
    </row>
    <row r="29" spans="1:26">
      <c r="A29" s="1035"/>
      <c r="B29" s="1036"/>
      <c r="C29" s="13"/>
      <c r="D29" s="261"/>
      <c r="E29" s="262"/>
      <c r="F29" s="1041"/>
      <c r="G29" s="1041"/>
      <c r="H29" s="263"/>
      <c r="I29" s="1042"/>
      <c r="J29" s="1042"/>
      <c r="K29" s="264"/>
      <c r="L29" s="14">
        <f>C24</f>
        <v>9.8945533855523085E-2</v>
      </c>
      <c r="M29" s="15" t="s">
        <v>190</v>
      </c>
      <c r="N29" s="1043" t="s">
        <v>394</v>
      </c>
      <c r="O29" s="1043"/>
      <c r="P29" s="16" t="s">
        <v>190</v>
      </c>
      <c r="Q29" s="1044">
        <f>C10</f>
        <v>1004</v>
      </c>
      <c r="R29" s="1044"/>
      <c r="S29" s="17"/>
      <c r="Z29" s="275"/>
    </row>
    <row r="30" spans="1:26">
      <c r="A30" s="1037"/>
      <c r="B30" s="1038"/>
      <c r="C30" s="18"/>
      <c r="D30" s="269"/>
      <c r="E30" s="1045"/>
      <c r="F30" s="1045"/>
      <c r="G30" s="270"/>
      <c r="H30" s="271"/>
      <c r="I30" s="271"/>
      <c r="J30" s="272"/>
      <c r="K30" s="273"/>
      <c r="L30" s="19"/>
      <c r="M30" s="1046" t="s">
        <v>24</v>
      </c>
      <c r="N30" s="1046"/>
      <c r="O30" s="20">
        <f>C8</f>
        <v>25.5</v>
      </c>
      <c r="P30" s="271" t="s">
        <v>184</v>
      </c>
      <c r="Q30" s="271" t="s">
        <v>190</v>
      </c>
      <c r="R30" s="66">
        <v>1013</v>
      </c>
      <c r="S30" s="21"/>
      <c r="T30" s="105"/>
      <c r="U30" s="105"/>
      <c r="V30" s="105"/>
      <c r="W30" s="105"/>
      <c r="X30" s="105"/>
      <c r="Y30" s="105"/>
      <c r="Z30" s="276"/>
    </row>
    <row r="31" spans="1:26">
      <c r="A31" s="1047" t="str">
        <f>G18</f>
        <v>4층 2-4반</v>
      </c>
      <c r="B31" s="1034"/>
      <c r="C31" s="12"/>
      <c r="D31" s="1039"/>
      <c r="E31" s="1039"/>
      <c r="F31" s="1039"/>
      <c r="G31" s="1039"/>
      <c r="H31" s="1039"/>
      <c r="I31" s="1039"/>
      <c r="J31" s="1039"/>
      <c r="K31" s="1039"/>
      <c r="L31" s="1040">
        <f>G22</f>
        <v>24</v>
      </c>
      <c r="M31" s="1040"/>
      <c r="N31" s="1040"/>
      <c r="O31" s="1040"/>
      <c r="P31" s="1040"/>
      <c r="Q31" s="1040"/>
      <c r="R31" s="1040"/>
      <c r="S31" s="1040"/>
      <c r="T31" s="268"/>
      <c r="U31" s="268"/>
      <c r="V31" s="268"/>
      <c r="W31" s="268"/>
      <c r="X31" s="268"/>
      <c r="Y31" s="268"/>
      <c r="Z31" s="274"/>
    </row>
    <row r="32" spans="1:26">
      <c r="A32" s="1035"/>
      <c r="B32" s="1036"/>
      <c r="C32" s="13"/>
      <c r="D32" s="261"/>
      <c r="E32" s="262"/>
      <c r="F32" s="1041"/>
      <c r="G32" s="1041"/>
      <c r="H32" s="263"/>
      <c r="I32" s="1042"/>
      <c r="J32" s="1042"/>
      <c r="K32" s="264"/>
      <c r="L32" s="14">
        <f>G24</f>
        <v>9.9107907169891041E-2</v>
      </c>
      <c r="M32" s="15" t="s">
        <v>190</v>
      </c>
      <c r="N32" s="1043" t="s">
        <v>394</v>
      </c>
      <c r="O32" s="1043"/>
      <c r="P32" s="16" t="s">
        <v>190</v>
      </c>
      <c r="Q32" s="1044">
        <f>G10</f>
        <v>1004.3</v>
      </c>
      <c r="R32" s="1044"/>
      <c r="S32" s="17"/>
      <c r="Z32" s="275"/>
    </row>
    <row r="33" spans="1:26">
      <c r="A33" s="1037"/>
      <c r="B33" s="1038"/>
      <c r="C33" s="18"/>
      <c r="D33" s="269"/>
      <c r="E33" s="1045"/>
      <c r="F33" s="1045"/>
      <c r="G33" s="270"/>
      <c r="H33" s="271"/>
      <c r="I33" s="271"/>
      <c r="J33" s="272"/>
      <c r="K33" s="273"/>
      <c r="L33" s="19"/>
      <c r="M33" s="1046" t="s">
        <v>24</v>
      </c>
      <c r="N33" s="1046"/>
      <c r="O33" s="20">
        <f>G8</f>
        <v>25.099999999999998</v>
      </c>
      <c r="P33" s="271" t="s">
        <v>184</v>
      </c>
      <c r="Q33" s="271" t="s">
        <v>190</v>
      </c>
      <c r="R33" s="66">
        <v>1013</v>
      </c>
      <c r="S33" s="21"/>
      <c r="T33" s="105"/>
      <c r="U33" s="105"/>
      <c r="V33" s="105"/>
      <c r="W33" s="105"/>
      <c r="X33" s="105"/>
      <c r="Y33" s="105"/>
      <c r="Z33" s="276"/>
    </row>
    <row r="34" spans="1:26">
      <c r="A34" s="1048" t="str">
        <f>K18</f>
        <v>1층 (도제)회계실무실습실</v>
      </c>
      <c r="B34" s="1036"/>
      <c r="C34" s="12"/>
      <c r="D34" s="1039"/>
      <c r="E34" s="1039"/>
      <c r="F34" s="1039"/>
      <c r="G34" s="1039"/>
      <c r="H34" s="1039"/>
      <c r="I34" s="1039"/>
      <c r="J34" s="1039"/>
      <c r="K34" s="1039"/>
      <c r="L34" s="1040">
        <f>K22</f>
        <v>3</v>
      </c>
      <c r="M34" s="1040"/>
      <c r="N34" s="1040"/>
      <c r="O34" s="1040"/>
      <c r="P34" s="1040"/>
      <c r="Q34" s="1040"/>
      <c r="R34" s="1040"/>
      <c r="S34" s="1040"/>
      <c r="T34" s="268"/>
      <c r="U34" s="268"/>
      <c r="V34" s="268"/>
      <c r="W34" s="268"/>
      <c r="X34" s="268"/>
      <c r="Y34" s="268"/>
      <c r="Z34" s="274"/>
    </row>
    <row r="35" spans="1:26">
      <c r="A35" s="1035"/>
      <c r="B35" s="1036"/>
      <c r="C35" s="13"/>
      <c r="D35" s="261"/>
      <c r="E35" s="262"/>
      <c r="F35" s="1041"/>
      <c r="G35" s="1041"/>
      <c r="H35" s="263"/>
      <c r="I35" s="1042"/>
      <c r="J35" s="1042"/>
      <c r="K35" s="264"/>
      <c r="L35" s="14">
        <f>K24</f>
        <v>9.8996266566327096E-2</v>
      </c>
      <c r="M35" s="15" t="s">
        <v>190</v>
      </c>
      <c r="N35" s="1043" t="s">
        <v>394</v>
      </c>
      <c r="O35" s="1043"/>
      <c r="P35" s="16" t="s">
        <v>190</v>
      </c>
      <c r="Q35" s="1044">
        <f>K10</f>
        <v>1005.3</v>
      </c>
      <c r="R35" s="1044"/>
      <c r="S35" s="17"/>
      <c r="Z35" s="275"/>
    </row>
    <row r="36" spans="1:26">
      <c r="A36" s="1037"/>
      <c r="B36" s="1038"/>
      <c r="C36" s="18"/>
      <c r="D36" s="269"/>
      <c r="E36" s="1045"/>
      <c r="F36" s="1045"/>
      <c r="G36" s="270"/>
      <c r="H36" s="271"/>
      <c r="I36" s="271"/>
      <c r="J36" s="273"/>
      <c r="K36" s="273"/>
      <c r="L36" s="19"/>
      <c r="M36" s="1046" t="s">
        <v>24</v>
      </c>
      <c r="N36" s="1046"/>
      <c r="O36" s="20">
        <f>K8</f>
        <v>25.733333333333334</v>
      </c>
      <c r="P36" s="271" t="s">
        <v>184</v>
      </c>
      <c r="Q36" s="271" t="s">
        <v>190</v>
      </c>
      <c r="R36" s="21">
        <v>1013</v>
      </c>
      <c r="S36" s="21"/>
      <c r="T36" s="105"/>
      <c r="U36" s="105"/>
      <c r="V36" s="105"/>
      <c r="W36" s="105"/>
      <c r="X36" s="105"/>
      <c r="Y36" s="105"/>
      <c r="Z36" s="276"/>
    </row>
    <row r="37" spans="1:26">
      <c r="A37" s="1047">
        <f>O18</f>
        <v>0</v>
      </c>
      <c r="B37" s="1034"/>
      <c r="C37" s="12"/>
      <c r="D37" s="1039"/>
      <c r="E37" s="1039"/>
      <c r="F37" s="1039"/>
      <c r="G37" s="1039"/>
      <c r="H37" s="1039"/>
      <c r="I37" s="1039"/>
      <c r="J37" s="1039"/>
      <c r="K37" s="1039"/>
      <c r="L37" s="1040" t="str">
        <f>O22</f>
        <v>-</v>
      </c>
      <c r="M37" s="1040"/>
      <c r="N37" s="1040"/>
      <c r="O37" s="1040"/>
      <c r="P37" s="1040"/>
      <c r="Q37" s="1040"/>
      <c r="R37" s="1040"/>
      <c r="S37" s="1040"/>
      <c r="T37" s="268"/>
      <c r="U37" s="268"/>
      <c r="V37" s="268"/>
      <c r="W37" s="268"/>
      <c r="X37" s="268"/>
      <c r="Y37" s="268"/>
      <c r="Z37" s="274"/>
    </row>
    <row r="38" spans="1:26">
      <c r="A38" s="1035"/>
      <c r="B38" s="1036"/>
      <c r="C38" s="13"/>
      <c r="D38" s="261"/>
      <c r="E38" s="262"/>
      <c r="F38" s="1041"/>
      <c r="G38" s="1041"/>
      <c r="H38" s="263"/>
      <c r="I38" s="1042"/>
      <c r="J38" s="1042"/>
      <c r="K38" s="264"/>
      <c r="L38" s="14" t="str">
        <f>O24</f>
        <v>-</v>
      </c>
      <c r="M38" s="15" t="s">
        <v>190</v>
      </c>
      <c r="N38" s="1043" t="s">
        <v>394</v>
      </c>
      <c r="O38" s="1043"/>
      <c r="P38" s="16" t="s">
        <v>190</v>
      </c>
      <c r="Q38" s="1044">
        <f>O10</f>
        <v>0</v>
      </c>
      <c r="R38" s="1044"/>
      <c r="S38" s="17"/>
      <c r="Z38" s="275"/>
    </row>
    <row r="39" spans="1:26">
      <c r="A39" s="1035"/>
      <c r="B39" s="1036"/>
      <c r="C39" s="13"/>
      <c r="D39" s="265"/>
      <c r="E39" s="1049"/>
      <c r="F39" s="1049"/>
      <c r="G39" s="266"/>
      <c r="H39" s="263"/>
      <c r="I39" s="263"/>
      <c r="J39" s="267"/>
      <c r="K39" s="267"/>
      <c r="L39" s="282"/>
      <c r="M39" s="1050" t="s">
        <v>24</v>
      </c>
      <c r="N39" s="1050"/>
      <c r="O39" s="283" t="str">
        <f>O8</f>
        <v>-</v>
      </c>
      <c r="P39" s="263" t="s">
        <v>184</v>
      </c>
      <c r="Q39" s="263" t="s">
        <v>190</v>
      </c>
      <c r="R39" s="284">
        <v>1013</v>
      </c>
      <c r="S39" s="284"/>
      <c r="Z39" s="275"/>
    </row>
    <row r="40" spans="1:26">
      <c r="A40" s="1047" t="str">
        <f>S18</f>
        <v>-</v>
      </c>
      <c r="B40" s="1034"/>
      <c r="C40" s="12"/>
      <c r="D40" s="1039"/>
      <c r="E40" s="1039"/>
      <c r="F40" s="1039"/>
      <c r="G40" s="1039"/>
      <c r="H40" s="1039"/>
      <c r="I40" s="1039"/>
      <c r="J40" s="1039"/>
      <c r="K40" s="1039"/>
      <c r="L40" s="1040" t="str">
        <f>S21</f>
        <v>-</v>
      </c>
      <c r="M40" s="1040"/>
      <c r="N40" s="1040"/>
      <c r="O40" s="1040"/>
      <c r="P40" s="1040"/>
      <c r="Q40" s="1040"/>
      <c r="R40" s="1040"/>
      <c r="S40" s="1040"/>
      <c r="T40" s="268"/>
      <c r="U40" s="268"/>
      <c r="V40" s="268"/>
      <c r="W40" s="268"/>
      <c r="X40" s="268"/>
      <c r="Y40" s="268"/>
      <c r="Z40" s="274"/>
    </row>
    <row r="41" spans="1:26">
      <c r="A41" s="1035"/>
      <c r="B41" s="1036"/>
      <c r="C41" s="13"/>
      <c r="D41" s="261"/>
      <c r="E41" s="262"/>
      <c r="F41" s="1041"/>
      <c r="G41" s="1041"/>
      <c r="H41" s="263"/>
      <c r="I41" s="1042"/>
      <c r="J41" s="1042"/>
      <c r="K41" s="264"/>
      <c r="L41" s="14">
        <f>'포집유량 보정'!U12</f>
        <v>0</v>
      </c>
      <c r="M41" s="15" t="s">
        <v>190</v>
      </c>
      <c r="N41" s="1043" t="s">
        <v>394</v>
      </c>
      <c r="O41" s="1043"/>
      <c r="P41" s="16" t="s">
        <v>190</v>
      </c>
      <c r="Q41" s="1044">
        <f>'입력2(측정)'!V14</f>
        <v>0</v>
      </c>
      <c r="R41" s="1044"/>
      <c r="S41" s="17"/>
      <c r="Z41" s="275"/>
    </row>
    <row r="42" spans="1:26">
      <c r="A42" s="1037"/>
      <c r="B42" s="1038"/>
      <c r="C42" s="18"/>
      <c r="D42" s="269"/>
      <c r="E42" s="1045"/>
      <c r="F42" s="1045"/>
      <c r="G42" s="270"/>
      <c r="H42" s="271"/>
      <c r="I42" s="271"/>
      <c r="J42" s="273"/>
      <c r="K42" s="273"/>
      <c r="L42" s="19"/>
      <c r="M42" s="1046" t="s">
        <v>24</v>
      </c>
      <c r="N42" s="1046"/>
      <c r="O42" s="20">
        <f>'입력2(측정)'!AB14</f>
        <v>0</v>
      </c>
      <c r="P42" s="271" t="s">
        <v>184</v>
      </c>
      <c r="Q42" s="271" t="s">
        <v>190</v>
      </c>
      <c r="R42" s="21">
        <v>1013</v>
      </c>
      <c r="S42" s="21"/>
      <c r="T42" s="105"/>
      <c r="U42" s="105"/>
      <c r="V42" s="105"/>
      <c r="W42" s="105"/>
      <c r="X42" s="105"/>
      <c r="Y42" s="105"/>
      <c r="Z42" s="276"/>
    </row>
    <row r="43" spans="1:26">
      <c r="A43" s="1047" t="str">
        <f>W6</f>
        <v>-</v>
      </c>
      <c r="B43" s="1034"/>
      <c r="C43" s="12"/>
      <c r="D43" s="1039"/>
      <c r="E43" s="1039"/>
      <c r="F43" s="1039"/>
      <c r="G43" s="1039"/>
      <c r="H43" s="1039"/>
      <c r="I43" s="1039"/>
      <c r="J43" s="1039"/>
      <c r="K43" s="1039"/>
      <c r="L43" s="1040" t="str">
        <f>W21</f>
        <v>-</v>
      </c>
      <c r="M43" s="1040"/>
      <c r="N43" s="1040"/>
      <c r="O43" s="1040"/>
      <c r="P43" s="1040"/>
      <c r="Q43" s="1040"/>
      <c r="R43" s="1040"/>
      <c r="S43" s="1040"/>
      <c r="T43" s="268"/>
      <c r="U43" s="268"/>
      <c r="V43" s="268"/>
      <c r="W43" s="268"/>
      <c r="X43" s="268"/>
      <c r="Y43" s="268"/>
      <c r="Z43" s="274"/>
    </row>
    <row r="44" spans="1:26">
      <c r="A44" s="1035"/>
      <c r="B44" s="1036"/>
      <c r="C44" s="13"/>
      <c r="D44" s="261"/>
      <c r="E44" s="262"/>
      <c r="F44" s="1041"/>
      <c r="G44" s="1041"/>
      <c r="H44" s="263"/>
      <c r="I44" s="1042"/>
      <c r="J44" s="1042"/>
      <c r="K44" s="264"/>
      <c r="L44" s="14">
        <f>'포집유량 보정'!U16</f>
        <v>0</v>
      </c>
      <c r="M44" s="15" t="s">
        <v>190</v>
      </c>
      <c r="N44" s="1043" t="s">
        <v>394</v>
      </c>
      <c r="O44" s="1043"/>
      <c r="P44" s="16" t="s">
        <v>190</v>
      </c>
      <c r="Q44" s="1044">
        <f>'입력2(측정)'!V17</f>
        <v>0</v>
      </c>
      <c r="R44" s="1044"/>
      <c r="S44" s="17"/>
      <c r="Z44" s="275"/>
    </row>
    <row r="45" spans="1:26">
      <c r="A45" s="1051"/>
      <c r="B45" s="1052"/>
      <c r="C45" s="22"/>
      <c r="D45" s="277"/>
      <c r="E45" s="1053"/>
      <c r="F45" s="1053"/>
      <c r="G45" s="278"/>
      <c r="H45" s="25"/>
      <c r="I45" s="25"/>
      <c r="J45" s="279"/>
      <c r="K45" s="279"/>
      <c r="L45" s="23"/>
      <c r="M45" s="1054" t="s">
        <v>24</v>
      </c>
      <c r="N45" s="1054"/>
      <c r="O45" s="24">
        <f>'입력2(측정)'!AB17</f>
        <v>0</v>
      </c>
      <c r="P45" s="25" t="s">
        <v>184</v>
      </c>
      <c r="Q45" s="25" t="s">
        <v>190</v>
      </c>
      <c r="R45" s="26">
        <v>1013</v>
      </c>
      <c r="S45" s="26"/>
      <c r="T45" s="280"/>
      <c r="U45" s="280"/>
      <c r="V45" s="280"/>
      <c r="W45" s="280"/>
      <c r="X45" s="280"/>
      <c r="Y45" s="280"/>
      <c r="Z45" s="281"/>
    </row>
  </sheetData>
  <mergeCells count="154">
    <mergeCell ref="A43:B45"/>
    <mergeCell ref="D43:K43"/>
    <mergeCell ref="L43:S43"/>
    <mergeCell ref="F44:G44"/>
    <mergeCell ref="I44:J44"/>
    <mergeCell ref="N44:O44"/>
    <mergeCell ref="Q44:R44"/>
    <mergeCell ref="E45:F45"/>
    <mergeCell ref="M45:N45"/>
    <mergeCell ref="A40:B42"/>
    <mergeCell ref="D40:K40"/>
    <mergeCell ref="L40:S40"/>
    <mergeCell ref="F41:G41"/>
    <mergeCell ref="I41:J41"/>
    <mergeCell ref="N41:O41"/>
    <mergeCell ref="Q41:R41"/>
    <mergeCell ref="E42:F42"/>
    <mergeCell ref="M42:N42"/>
    <mergeCell ref="A37:B39"/>
    <mergeCell ref="D37:K37"/>
    <mergeCell ref="L37:S37"/>
    <mergeCell ref="F38:G38"/>
    <mergeCell ref="I38:J38"/>
    <mergeCell ref="N38:O38"/>
    <mergeCell ref="Q38:R38"/>
    <mergeCell ref="E39:F39"/>
    <mergeCell ref="M39:N39"/>
    <mergeCell ref="A34:B36"/>
    <mergeCell ref="D34:K34"/>
    <mergeCell ref="L34:S34"/>
    <mergeCell ref="F35:G35"/>
    <mergeCell ref="I35:J35"/>
    <mergeCell ref="N35:O35"/>
    <mergeCell ref="Q35:R35"/>
    <mergeCell ref="E36:F36"/>
    <mergeCell ref="M36:N36"/>
    <mergeCell ref="A31:B33"/>
    <mergeCell ref="D31:K31"/>
    <mergeCell ref="L31:S31"/>
    <mergeCell ref="F32:G32"/>
    <mergeCell ref="I32:J32"/>
    <mergeCell ref="N32:O32"/>
    <mergeCell ref="Q32:R32"/>
    <mergeCell ref="E33:F33"/>
    <mergeCell ref="M33:N33"/>
    <mergeCell ref="A26:R26"/>
    <mergeCell ref="A27:B27"/>
    <mergeCell ref="C27:Z27"/>
    <mergeCell ref="A28:B30"/>
    <mergeCell ref="D28:K28"/>
    <mergeCell ref="L28:S28"/>
    <mergeCell ref="F29:G29"/>
    <mergeCell ref="I29:J29"/>
    <mergeCell ref="N29:O29"/>
    <mergeCell ref="Q29:R29"/>
    <mergeCell ref="E30:F30"/>
    <mergeCell ref="M30:N30"/>
    <mergeCell ref="O23:R23"/>
    <mergeCell ref="S23:V23"/>
    <mergeCell ref="W23:Z23"/>
    <mergeCell ref="C24:F24"/>
    <mergeCell ref="G24:J24"/>
    <mergeCell ref="K24:N24"/>
    <mergeCell ref="O24:R24"/>
    <mergeCell ref="S24:V24"/>
    <mergeCell ref="W24:Z24"/>
    <mergeCell ref="A19:A24"/>
    <mergeCell ref="C19:J19"/>
    <mergeCell ref="K19:Z19"/>
    <mergeCell ref="C20:F20"/>
    <mergeCell ref="G20:J20"/>
    <mergeCell ref="K20:N20"/>
    <mergeCell ref="O20:R20"/>
    <mergeCell ref="S20:V20"/>
    <mergeCell ref="W20:Z20"/>
    <mergeCell ref="C21:F21"/>
    <mergeCell ref="G21:J21"/>
    <mergeCell ref="K21:N21"/>
    <mergeCell ref="O21:R21"/>
    <mergeCell ref="S21:V21"/>
    <mergeCell ref="W21:Z21"/>
    <mergeCell ref="C22:F22"/>
    <mergeCell ref="G22:J22"/>
    <mergeCell ref="K22:N22"/>
    <mergeCell ref="O22:R22"/>
    <mergeCell ref="S22:V22"/>
    <mergeCell ref="W22:Z22"/>
    <mergeCell ref="C23:F23"/>
    <mergeCell ref="G23:J23"/>
    <mergeCell ref="K23:N23"/>
    <mergeCell ref="A12:Z12"/>
    <mergeCell ref="A13:R13"/>
    <mergeCell ref="A14:R14"/>
    <mergeCell ref="A15:Z15"/>
    <mergeCell ref="A16:J16"/>
    <mergeCell ref="K16:Z16"/>
    <mergeCell ref="A17:Z17"/>
    <mergeCell ref="A18:B18"/>
    <mergeCell ref="C18:F18"/>
    <mergeCell ref="G18:J18"/>
    <mergeCell ref="O18:R18"/>
    <mergeCell ref="S18:V18"/>
    <mergeCell ref="W18:Z18"/>
    <mergeCell ref="K18:N18"/>
    <mergeCell ref="A9:B9"/>
    <mergeCell ref="C9:F9"/>
    <mergeCell ref="G9:J9"/>
    <mergeCell ref="K9:N9"/>
    <mergeCell ref="O9:R9"/>
    <mergeCell ref="S9:V9"/>
    <mergeCell ref="W9:Z9"/>
    <mergeCell ref="A10:B10"/>
    <mergeCell ref="C10:F10"/>
    <mergeCell ref="G10:J10"/>
    <mergeCell ref="K10:N10"/>
    <mergeCell ref="O10:R10"/>
    <mergeCell ref="S10:V10"/>
    <mergeCell ref="W10:Z10"/>
    <mergeCell ref="A6:B7"/>
    <mergeCell ref="C6:F7"/>
    <mergeCell ref="G6:J7"/>
    <mergeCell ref="K6:N7"/>
    <mergeCell ref="O6:R7"/>
    <mergeCell ref="S6:V7"/>
    <mergeCell ref="W6:Z7"/>
    <mergeCell ref="A8:B8"/>
    <mergeCell ref="C8:F8"/>
    <mergeCell ref="G8:J8"/>
    <mergeCell ref="K8:N8"/>
    <mergeCell ref="O8:R8"/>
    <mergeCell ref="S8:V8"/>
    <mergeCell ref="W8:Z8"/>
    <mergeCell ref="A3:B3"/>
    <mergeCell ref="C3:H3"/>
    <mergeCell ref="I3:L3"/>
    <mergeCell ref="M3:Z3"/>
    <mergeCell ref="A4:B4"/>
    <mergeCell ref="C4:H4"/>
    <mergeCell ref="I4:L4"/>
    <mergeCell ref="M4:Z4"/>
    <mergeCell ref="A5:B5"/>
    <mergeCell ref="C5:H5"/>
    <mergeCell ref="I5:L5"/>
    <mergeCell ref="M5:Z5"/>
    <mergeCell ref="A1:N1"/>
    <mergeCell ref="O1:P1"/>
    <mergeCell ref="Q1:R1"/>
    <mergeCell ref="W1:X1"/>
    <mergeCell ref="Y1:Z1"/>
    <mergeCell ref="A2:C2"/>
    <mergeCell ref="O2:P2"/>
    <mergeCell ref="Q2:R2"/>
    <mergeCell ref="W2:X2"/>
    <mergeCell ref="Y2:Z2"/>
  </mergeCells>
  <phoneticPr fontId="37" type="noConversion"/>
  <pageMargins left="0.74805557727813721" right="0.74805557727813721" top="0.98430556058883667" bottom="0.98430556058883667" header="0.51138889789581299" footer="0.51138889789581299"/>
  <pageSetup paperSize="9" scale="72" fitToWidth="0" fitToHeight="0" orientation="portrait" r:id="rId1"/>
  <colBreaks count="1" manualBreakCount="1">
    <brk id="26" max="163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2:B402"/>
  <sheetViews>
    <sheetView zoomScale="70" zoomScaleNormal="70" zoomScaleSheetLayoutView="75" workbookViewId="0">
      <selection activeCell="AA19" sqref="AA18:AA19"/>
    </sheetView>
  </sheetViews>
  <sheetFormatPr defaultColWidth="9" defaultRowHeight="16.5"/>
  <sheetData>
    <row r="2" spans="1:2">
      <c r="A2" s="54" t="s">
        <v>241</v>
      </c>
      <c r="B2" s="55" t="s">
        <v>271</v>
      </c>
    </row>
    <row r="3" spans="1:2">
      <c r="A3" s="56">
        <v>1</v>
      </c>
      <c r="B3" s="57">
        <v>1</v>
      </c>
    </row>
    <row r="4" spans="1:2">
      <c r="A4" s="58">
        <v>2</v>
      </c>
      <c r="B4" s="59">
        <v>2</v>
      </c>
    </row>
    <row r="5" spans="1:2">
      <c r="A5" s="58">
        <v>3</v>
      </c>
      <c r="B5" s="59">
        <v>3</v>
      </c>
    </row>
    <row r="6" spans="1:2">
      <c r="A6" s="58">
        <v>4</v>
      </c>
      <c r="B6" s="59">
        <v>4</v>
      </c>
    </row>
    <row r="7" spans="1:2">
      <c r="A7" s="58">
        <v>5</v>
      </c>
      <c r="B7" s="59">
        <v>5</v>
      </c>
    </row>
    <row r="8" spans="1:2">
      <c r="A8" s="58">
        <v>6</v>
      </c>
      <c r="B8" s="59">
        <v>6</v>
      </c>
    </row>
    <row r="9" spans="1:2">
      <c r="A9" s="58">
        <v>7</v>
      </c>
      <c r="B9" s="59">
        <v>7</v>
      </c>
    </row>
    <row r="10" spans="1:2">
      <c r="A10" s="58">
        <v>8</v>
      </c>
      <c r="B10" s="59">
        <v>8</v>
      </c>
    </row>
    <row r="11" spans="1:2">
      <c r="A11" s="58">
        <v>9</v>
      </c>
      <c r="B11" s="59">
        <v>9</v>
      </c>
    </row>
    <row r="12" spans="1:2">
      <c r="A12" s="58">
        <v>10</v>
      </c>
      <c r="B12" s="59">
        <v>10</v>
      </c>
    </row>
    <row r="13" spans="1:2">
      <c r="A13" s="58">
        <v>11</v>
      </c>
      <c r="B13" s="59">
        <v>11</v>
      </c>
    </row>
    <row r="14" spans="1:2">
      <c r="A14" s="58">
        <v>12</v>
      </c>
      <c r="B14" s="59">
        <v>12</v>
      </c>
    </row>
    <row r="15" spans="1:2">
      <c r="A15" s="58">
        <v>13</v>
      </c>
      <c r="B15" s="59">
        <v>13</v>
      </c>
    </row>
    <row r="16" spans="1:2">
      <c r="A16" s="58">
        <v>14</v>
      </c>
      <c r="B16" s="59">
        <v>14</v>
      </c>
    </row>
    <row r="17" spans="1:2">
      <c r="A17" s="58">
        <v>15</v>
      </c>
      <c r="B17" s="59">
        <v>15</v>
      </c>
    </row>
    <row r="18" spans="1:2">
      <c r="A18" s="58">
        <v>16</v>
      </c>
      <c r="B18" s="59">
        <v>16</v>
      </c>
    </row>
    <row r="19" spans="1:2">
      <c r="A19" s="58">
        <v>17</v>
      </c>
      <c r="B19" s="59">
        <v>17</v>
      </c>
    </row>
    <row r="20" spans="1:2">
      <c r="A20" s="58">
        <v>18</v>
      </c>
      <c r="B20" s="59">
        <v>18</v>
      </c>
    </row>
    <row r="21" spans="1:2">
      <c r="A21" s="58">
        <v>19</v>
      </c>
      <c r="B21" s="59">
        <v>19</v>
      </c>
    </row>
    <row r="22" spans="1:2">
      <c r="A22" s="58">
        <v>20</v>
      </c>
      <c r="B22" s="59">
        <v>21</v>
      </c>
    </row>
    <row r="23" spans="1:2">
      <c r="A23" s="58">
        <v>21</v>
      </c>
      <c r="B23" s="59">
        <v>22</v>
      </c>
    </row>
    <row r="24" spans="1:2">
      <c r="A24" s="58">
        <v>22</v>
      </c>
      <c r="B24" s="59">
        <v>23</v>
      </c>
    </row>
    <row r="25" spans="1:2">
      <c r="A25" s="58">
        <v>23</v>
      </c>
      <c r="B25" s="59">
        <v>24</v>
      </c>
    </row>
    <row r="26" spans="1:2">
      <c r="A26" s="58">
        <v>24</v>
      </c>
      <c r="B26" s="59">
        <v>25</v>
      </c>
    </row>
    <row r="27" spans="1:2">
      <c r="A27" s="58">
        <v>25</v>
      </c>
      <c r="B27" s="59">
        <v>26</v>
      </c>
    </row>
    <row r="28" spans="1:2">
      <c r="A28" s="58">
        <v>26</v>
      </c>
      <c r="B28" s="59">
        <v>27</v>
      </c>
    </row>
    <row r="29" spans="1:2">
      <c r="A29" s="58">
        <v>27</v>
      </c>
      <c r="B29" s="59">
        <v>28</v>
      </c>
    </row>
    <row r="30" spans="1:2">
      <c r="A30" s="58">
        <v>28</v>
      </c>
      <c r="B30" s="59">
        <v>29</v>
      </c>
    </row>
    <row r="31" spans="1:2">
      <c r="A31" s="58">
        <v>29</v>
      </c>
      <c r="B31" s="59">
        <v>30</v>
      </c>
    </row>
    <row r="32" spans="1:2">
      <c r="A32" s="58">
        <v>30</v>
      </c>
      <c r="B32" s="59">
        <v>31</v>
      </c>
    </row>
    <row r="33" spans="1:2">
      <c r="A33" s="58">
        <v>31</v>
      </c>
      <c r="B33" s="59">
        <v>32</v>
      </c>
    </row>
    <row r="34" spans="1:2">
      <c r="A34" s="58">
        <v>32</v>
      </c>
      <c r="B34" s="59">
        <v>33</v>
      </c>
    </row>
    <row r="35" spans="1:2">
      <c r="A35" s="58">
        <v>33</v>
      </c>
      <c r="B35" s="59">
        <v>34</v>
      </c>
    </row>
    <row r="36" spans="1:2">
      <c r="A36" s="58">
        <v>34</v>
      </c>
      <c r="B36" s="59">
        <v>36</v>
      </c>
    </row>
    <row r="37" spans="1:2">
      <c r="A37" s="58">
        <v>35</v>
      </c>
      <c r="B37" s="59">
        <v>37</v>
      </c>
    </row>
    <row r="38" spans="1:2">
      <c r="A38" s="58">
        <v>36</v>
      </c>
      <c r="B38" s="59">
        <v>38</v>
      </c>
    </row>
    <row r="39" spans="1:2">
      <c r="A39" s="58">
        <v>37</v>
      </c>
      <c r="B39" s="59">
        <v>39</v>
      </c>
    </row>
    <row r="40" spans="1:2">
      <c r="A40" s="58">
        <v>38</v>
      </c>
      <c r="B40" s="59">
        <v>40</v>
      </c>
    </row>
    <row r="41" spans="1:2">
      <c r="A41" s="58">
        <v>39</v>
      </c>
      <c r="B41" s="59">
        <v>41</v>
      </c>
    </row>
    <row r="42" spans="1:2">
      <c r="A42" s="58">
        <v>40</v>
      </c>
      <c r="B42" s="59">
        <v>42</v>
      </c>
    </row>
    <row r="43" spans="1:2">
      <c r="A43" s="58">
        <v>41</v>
      </c>
      <c r="B43" s="59">
        <v>43</v>
      </c>
    </row>
    <row r="44" spans="1:2">
      <c r="A44" s="58">
        <v>42</v>
      </c>
      <c r="B44" s="59">
        <v>44</v>
      </c>
    </row>
    <row r="45" spans="1:2">
      <c r="A45" s="58">
        <v>43</v>
      </c>
      <c r="B45" s="59">
        <v>45</v>
      </c>
    </row>
    <row r="46" spans="1:2">
      <c r="A46" s="58">
        <v>44</v>
      </c>
      <c r="B46" s="59">
        <v>47</v>
      </c>
    </row>
    <row r="47" spans="1:2">
      <c r="A47" s="58">
        <v>45</v>
      </c>
      <c r="B47" s="59">
        <v>48</v>
      </c>
    </row>
    <row r="48" spans="1:2">
      <c r="A48" s="58">
        <v>46</v>
      </c>
      <c r="B48" s="59">
        <v>49</v>
      </c>
    </row>
    <row r="49" spans="1:2">
      <c r="A49" s="58">
        <v>47</v>
      </c>
      <c r="B49" s="59">
        <v>50</v>
      </c>
    </row>
    <row r="50" spans="1:2">
      <c r="A50" s="58">
        <v>48</v>
      </c>
      <c r="B50" s="59">
        <v>51</v>
      </c>
    </row>
    <row r="51" spans="1:2">
      <c r="A51" s="58">
        <v>49</v>
      </c>
      <c r="B51" s="59">
        <v>52</v>
      </c>
    </row>
    <row r="52" spans="1:2">
      <c r="A52" s="60">
        <v>50</v>
      </c>
      <c r="B52" s="61">
        <v>53</v>
      </c>
    </row>
    <row r="53" spans="1:2">
      <c r="A53" s="56">
        <v>51</v>
      </c>
      <c r="B53" s="57">
        <v>55</v>
      </c>
    </row>
    <row r="54" spans="1:2">
      <c r="A54" s="58">
        <v>52</v>
      </c>
      <c r="B54" s="59">
        <v>56</v>
      </c>
    </row>
    <row r="55" spans="1:2">
      <c r="A55" s="58">
        <v>53</v>
      </c>
      <c r="B55" s="59">
        <v>57</v>
      </c>
    </row>
    <row r="56" spans="1:2">
      <c r="A56" s="58">
        <v>54</v>
      </c>
      <c r="B56" s="59">
        <v>58</v>
      </c>
    </row>
    <row r="57" spans="1:2">
      <c r="A57" s="58">
        <v>55</v>
      </c>
      <c r="B57" s="59">
        <v>59</v>
      </c>
    </row>
    <row r="58" spans="1:2">
      <c r="A58" s="58">
        <v>56</v>
      </c>
      <c r="B58" s="59">
        <v>60</v>
      </c>
    </row>
    <row r="59" spans="1:2">
      <c r="A59" s="58">
        <v>57</v>
      </c>
      <c r="B59" s="59">
        <v>61</v>
      </c>
    </row>
    <row r="60" spans="1:2">
      <c r="A60" s="58">
        <v>58</v>
      </c>
      <c r="B60" s="59">
        <v>63</v>
      </c>
    </row>
    <row r="61" spans="1:2">
      <c r="A61" s="58">
        <v>59</v>
      </c>
      <c r="B61" s="59">
        <v>64</v>
      </c>
    </row>
    <row r="62" spans="1:2">
      <c r="A62" s="58">
        <v>60</v>
      </c>
      <c r="B62" s="59">
        <v>65</v>
      </c>
    </row>
    <row r="63" spans="1:2">
      <c r="A63" s="58">
        <v>61</v>
      </c>
      <c r="B63" s="59">
        <v>66</v>
      </c>
    </row>
    <row r="64" spans="1:2">
      <c r="A64" s="58">
        <v>62</v>
      </c>
      <c r="B64" s="59">
        <v>67</v>
      </c>
    </row>
    <row r="65" spans="1:2">
      <c r="A65" s="58">
        <v>63</v>
      </c>
      <c r="B65" s="59">
        <v>69</v>
      </c>
    </row>
    <row r="66" spans="1:2">
      <c r="A66" s="58">
        <v>64</v>
      </c>
      <c r="B66" s="59">
        <v>70</v>
      </c>
    </row>
    <row r="67" spans="1:2">
      <c r="A67" s="58">
        <v>65</v>
      </c>
      <c r="B67" s="59">
        <v>71</v>
      </c>
    </row>
    <row r="68" spans="1:2">
      <c r="A68" s="58">
        <v>66</v>
      </c>
      <c r="B68" s="59">
        <v>72</v>
      </c>
    </row>
    <row r="69" spans="1:2">
      <c r="A69" s="58">
        <v>67</v>
      </c>
      <c r="B69" s="59">
        <v>73</v>
      </c>
    </row>
    <row r="70" spans="1:2">
      <c r="A70" s="58">
        <v>68</v>
      </c>
      <c r="B70" s="59">
        <v>75</v>
      </c>
    </row>
    <row r="71" spans="1:2">
      <c r="A71" s="58">
        <v>69</v>
      </c>
      <c r="B71" s="59">
        <v>76</v>
      </c>
    </row>
    <row r="72" spans="1:2">
      <c r="A72" s="58">
        <v>70</v>
      </c>
      <c r="B72" s="59">
        <v>77</v>
      </c>
    </row>
    <row r="73" spans="1:2">
      <c r="A73" s="58">
        <v>71</v>
      </c>
      <c r="B73" s="59">
        <v>78</v>
      </c>
    </row>
    <row r="74" spans="1:2">
      <c r="A74" s="58">
        <v>72</v>
      </c>
      <c r="B74" s="59">
        <v>79</v>
      </c>
    </row>
    <row r="75" spans="1:2">
      <c r="A75" s="58">
        <v>73</v>
      </c>
      <c r="B75" s="59">
        <v>81</v>
      </c>
    </row>
    <row r="76" spans="1:2">
      <c r="A76" s="58">
        <v>74</v>
      </c>
      <c r="B76" s="59">
        <v>82</v>
      </c>
    </row>
    <row r="77" spans="1:2">
      <c r="A77" s="58">
        <v>75</v>
      </c>
      <c r="B77" s="59">
        <v>83</v>
      </c>
    </row>
    <row r="78" spans="1:2">
      <c r="A78" s="58">
        <v>76</v>
      </c>
      <c r="B78" s="59">
        <v>84</v>
      </c>
    </row>
    <row r="79" spans="1:2">
      <c r="A79" s="58">
        <v>77</v>
      </c>
      <c r="B79" s="59">
        <v>86</v>
      </c>
    </row>
    <row r="80" spans="1:2">
      <c r="A80" s="58">
        <v>78</v>
      </c>
      <c r="B80" s="59">
        <v>87</v>
      </c>
    </row>
    <row r="81" spans="1:2">
      <c r="A81" s="58">
        <v>79</v>
      </c>
      <c r="B81" s="59">
        <v>88</v>
      </c>
    </row>
    <row r="82" spans="1:2">
      <c r="A82" s="58">
        <v>80</v>
      </c>
      <c r="B82" s="59">
        <v>89</v>
      </c>
    </row>
    <row r="83" spans="1:2">
      <c r="A83" s="58">
        <v>81</v>
      </c>
      <c r="B83" s="59">
        <v>91</v>
      </c>
    </row>
    <row r="84" spans="1:2">
      <c r="A84" s="58">
        <v>82</v>
      </c>
      <c r="B84" s="59">
        <v>92</v>
      </c>
    </row>
    <row r="85" spans="1:2">
      <c r="A85" s="58">
        <v>83</v>
      </c>
      <c r="B85" s="59">
        <v>93</v>
      </c>
    </row>
    <row r="86" spans="1:2">
      <c r="A86" s="58">
        <v>84</v>
      </c>
      <c r="B86" s="59">
        <v>94</v>
      </c>
    </row>
    <row r="87" spans="1:2">
      <c r="A87" s="58">
        <v>85</v>
      </c>
      <c r="B87" s="59">
        <v>96</v>
      </c>
    </row>
    <row r="88" spans="1:2">
      <c r="A88" s="58">
        <v>86</v>
      </c>
      <c r="B88" s="59">
        <v>97</v>
      </c>
    </row>
    <row r="89" spans="1:2">
      <c r="A89" s="58">
        <v>87</v>
      </c>
      <c r="B89" s="59">
        <v>98</v>
      </c>
    </row>
    <row r="90" spans="1:2">
      <c r="A90" s="58">
        <v>88</v>
      </c>
      <c r="B90" s="59">
        <v>99</v>
      </c>
    </row>
    <row r="91" spans="1:2">
      <c r="A91" s="58">
        <v>89</v>
      </c>
      <c r="B91" s="59">
        <v>101</v>
      </c>
    </row>
    <row r="92" spans="1:2">
      <c r="A92" s="58">
        <v>90</v>
      </c>
      <c r="B92" s="59">
        <v>102</v>
      </c>
    </row>
    <row r="93" spans="1:2">
      <c r="A93" s="58">
        <v>91</v>
      </c>
      <c r="B93" s="59">
        <v>103</v>
      </c>
    </row>
    <row r="94" spans="1:2">
      <c r="A94" s="58">
        <v>92</v>
      </c>
      <c r="B94" s="59">
        <v>105</v>
      </c>
    </row>
    <row r="95" spans="1:2">
      <c r="A95" s="58">
        <v>93</v>
      </c>
      <c r="B95" s="59">
        <v>106</v>
      </c>
    </row>
    <row r="96" spans="1:2">
      <c r="A96" s="58">
        <v>94</v>
      </c>
      <c r="B96" s="59">
        <v>107</v>
      </c>
    </row>
    <row r="97" spans="1:2">
      <c r="A97" s="58">
        <v>95</v>
      </c>
      <c r="B97" s="59">
        <v>108</v>
      </c>
    </row>
    <row r="98" spans="1:2">
      <c r="A98" s="58">
        <v>96</v>
      </c>
      <c r="B98" s="59">
        <v>110</v>
      </c>
    </row>
    <row r="99" spans="1:2">
      <c r="A99" s="58">
        <v>97</v>
      </c>
      <c r="B99" s="59">
        <v>111</v>
      </c>
    </row>
    <row r="100" spans="1:2">
      <c r="A100" s="58">
        <v>98</v>
      </c>
      <c r="B100" s="59">
        <v>112</v>
      </c>
    </row>
    <row r="101" spans="1:2">
      <c r="A101" s="58">
        <v>99</v>
      </c>
      <c r="B101" s="59">
        <v>114</v>
      </c>
    </row>
    <row r="102" spans="1:2">
      <c r="A102" s="60">
        <v>100</v>
      </c>
      <c r="B102" s="61">
        <v>115</v>
      </c>
    </row>
    <row r="103" spans="1:2">
      <c r="A103" s="56">
        <v>101</v>
      </c>
      <c r="B103" s="57">
        <v>116</v>
      </c>
    </row>
    <row r="104" spans="1:2">
      <c r="A104" s="58">
        <v>102</v>
      </c>
      <c r="B104" s="59">
        <v>118</v>
      </c>
    </row>
    <row r="105" spans="1:2">
      <c r="A105" s="58">
        <v>103</v>
      </c>
      <c r="B105" s="59">
        <v>119</v>
      </c>
    </row>
    <row r="106" spans="1:2">
      <c r="A106" s="58">
        <v>104</v>
      </c>
      <c r="B106" s="59">
        <v>120</v>
      </c>
    </row>
    <row r="107" spans="1:2">
      <c r="A107" s="58">
        <v>105</v>
      </c>
      <c r="B107" s="59">
        <v>122</v>
      </c>
    </row>
    <row r="108" spans="1:2">
      <c r="A108" s="58">
        <v>106</v>
      </c>
      <c r="B108" s="59">
        <v>123</v>
      </c>
    </row>
    <row r="109" spans="1:2">
      <c r="A109" s="58">
        <v>107</v>
      </c>
      <c r="B109" s="59">
        <v>124</v>
      </c>
    </row>
    <row r="110" spans="1:2">
      <c r="A110" s="58">
        <v>108</v>
      </c>
      <c r="B110" s="59">
        <v>126</v>
      </c>
    </row>
    <row r="111" spans="1:2">
      <c r="A111" s="58">
        <v>109</v>
      </c>
      <c r="B111" s="59">
        <v>127</v>
      </c>
    </row>
    <row r="112" spans="1:2">
      <c r="A112" s="58">
        <v>110</v>
      </c>
      <c r="B112" s="59">
        <v>128</v>
      </c>
    </row>
    <row r="113" spans="1:2">
      <c r="A113" s="58">
        <v>111</v>
      </c>
      <c r="B113" s="59">
        <v>130</v>
      </c>
    </row>
    <row r="114" spans="1:2">
      <c r="A114" s="58">
        <v>112</v>
      </c>
      <c r="B114" s="59">
        <v>131</v>
      </c>
    </row>
    <row r="115" spans="1:2">
      <c r="A115" s="58">
        <v>113</v>
      </c>
      <c r="B115" s="59">
        <v>133</v>
      </c>
    </row>
    <row r="116" spans="1:2">
      <c r="A116" s="58">
        <v>114</v>
      </c>
      <c r="B116" s="59">
        <v>134</v>
      </c>
    </row>
    <row r="117" spans="1:2">
      <c r="A117" s="58">
        <v>115</v>
      </c>
      <c r="B117" s="59">
        <v>136</v>
      </c>
    </row>
    <row r="118" spans="1:2">
      <c r="A118" s="58">
        <v>116</v>
      </c>
      <c r="B118" s="59">
        <v>137</v>
      </c>
    </row>
    <row r="119" spans="1:2">
      <c r="A119" s="58">
        <v>117</v>
      </c>
      <c r="B119" s="59">
        <v>138</v>
      </c>
    </row>
    <row r="120" spans="1:2">
      <c r="A120" s="58">
        <v>118</v>
      </c>
      <c r="B120" s="59">
        <v>140</v>
      </c>
    </row>
    <row r="121" spans="1:2">
      <c r="A121" s="58">
        <v>119</v>
      </c>
      <c r="B121" s="59">
        <v>141</v>
      </c>
    </row>
    <row r="122" spans="1:2">
      <c r="A122" s="58">
        <v>120</v>
      </c>
      <c r="B122" s="59">
        <v>143</v>
      </c>
    </row>
    <row r="123" spans="1:2">
      <c r="A123" s="58">
        <v>121</v>
      </c>
      <c r="B123" s="59">
        <v>144</v>
      </c>
    </row>
    <row r="124" spans="1:2">
      <c r="A124" s="58">
        <v>122</v>
      </c>
      <c r="B124" s="59">
        <v>146</v>
      </c>
    </row>
    <row r="125" spans="1:2">
      <c r="A125" s="58">
        <v>123</v>
      </c>
      <c r="B125" s="59">
        <v>147</v>
      </c>
    </row>
    <row r="126" spans="1:2">
      <c r="A126" s="58">
        <v>124</v>
      </c>
      <c r="B126" s="59">
        <v>148</v>
      </c>
    </row>
    <row r="127" spans="1:2">
      <c r="A127" s="58">
        <v>125</v>
      </c>
      <c r="B127" s="59">
        <v>150</v>
      </c>
    </row>
    <row r="128" spans="1:2">
      <c r="A128" s="58">
        <v>126</v>
      </c>
      <c r="B128" s="59">
        <v>151</v>
      </c>
    </row>
    <row r="129" spans="1:2">
      <c r="A129" s="58">
        <v>127</v>
      </c>
      <c r="B129" s="59">
        <v>153</v>
      </c>
    </row>
    <row r="130" spans="1:2">
      <c r="A130" s="58">
        <v>128</v>
      </c>
      <c r="B130" s="59">
        <v>154</v>
      </c>
    </row>
    <row r="131" spans="1:2">
      <c r="A131" s="58">
        <v>129</v>
      </c>
      <c r="B131" s="59">
        <v>156</v>
      </c>
    </row>
    <row r="132" spans="1:2">
      <c r="A132" s="58">
        <v>130</v>
      </c>
      <c r="B132" s="59">
        <v>157</v>
      </c>
    </row>
    <row r="133" spans="1:2">
      <c r="A133" s="58">
        <v>131</v>
      </c>
      <c r="B133" s="59">
        <v>159</v>
      </c>
    </row>
    <row r="134" spans="1:2">
      <c r="A134" s="58">
        <v>132</v>
      </c>
      <c r="B134" s="59">
        <v>160</v>
      </c>
    </row>
    <row r="135" spans="1:2">
      <c r="A135" s="58">
        <v>133</v>
      </c>
      <c r="B135" s="59">
        <v>162</v>
      </c>
    </row>
    <row r="136" spans="1:2">
      <c r="A136" s="58">
        <v>134</v>
      </c>
      <c r="B136" s="59">
        <v>163</v>
      </c>
    </row>
    <row r="137" spans="1:2">
      <c r="A137" s="58">
        <v>135</v>
      </c>
      <c r="B137" s="59">
        <v>165</v>
      </c>
    </row>
    <row r="138" spans="1:2">
      <c r="A138" s="58">
        <v>136</v>
      </c>
      <c r="B138" s="59">
        <v>166</v>
      </c>
    </row>
    <row r="139" spans="1:2">
      <c r="A139" s="58">
        <v>137</v>
      </c>
      <c r="B139" s="59">
        <v>168</v>
      </c>
    </row>
    <row r="140" spans="1:2">
      <c r="A140" s="58">
        <v>138</v>
      </c>
      <c r="B140" s="59">
        <v>169</v>
      </c>
    </row>
    <row r="141" spans="1:2">
      <c r="A141" s="58">
        <v>139</v>
      </c>
      <c r="B141" s="59">
        <v>171</v>
      </c>
    </row>
    <row r="142" spans="1:2">
      <c r="A142" s="58">
        <v>140</v>
      </c>
      <c r="B142" s="59">
        <v>172</v>
      </c>
    </row>
    <row r="143" spans="1:2">
      <c r="A143" s="58">
        <v>141</v>
      </c>
      <c r="B143" s="59">
        <v>174</v>
      </c>
    </row>
    <row r="144" spans="1:2">
      <c r="A144" s="58">
        <v>142</v>
      </c>
      <c r="B144" s="59">
        <v>175</v>
      </c>
    </row>
    <row r="145" spans="1:2">
      <c r="A145" s="58">
        <v>143</v>
      </c>
      <c r="B145" s="59">
        <v>177</v>
      </c>
    </row>
    <row r="146" spans="1:2">
      <c r="A146" s="58">
        <v>144</v>
      </c>
      <c r="B146" s="59">
        <v>179</v>
      </c>
    </row>
    <row r="147" spans="1:2">
      <c r="A147" s="58">
        <v>145</v>
      </c>
      <c r="B147" s="59">
        <v>180</v>
      </c>
    </row>
    <row r="148" spans="1:2">
      <c r="A148" s="58">
        <v>146</v>
      </c>
      <c r="B148" s="59">
        <v>182</v>
      </c>
    </row>
    <row r="149" spans="1:2">
      <c r="A149" s="58">
        <v>147</v>
      </c>
      <c r="B149" s="59">
        <v>183</v>
      </c>
    </row>
    <row r="150" spans="1:2">
      <c r="A150" s="58">
        <v>148</v>
      </c>
      <c r="B150" s="59">
        <v>185</v>
      </c>
    </row>
    <row r="151" spans="1:2">
      <c r="A151" s="58">
        <v>149</v>
      </c>
      <c r="B151" s="59">
        <v>186</v>
      </c>
    </row>
    <row r="152" spans="1:2">
      <c r="A152" s="60">
        <v>150</v>
      </c>
      <c r="B152" s="61">
        <v>188</v>
      </c>
    </row>
    <row r="153" spans="1:2">
      <c r="A153" s="56">
        <v>151</v>
      </c>
      <c r="B153" s="57">
        <v>190</v>
      </c>
    </row>
    <row r="154" spans="1:2">
      <c r="A154" s="58">
        <v>152</v>
      </c>
      <c r="B154" s="59">
        <v>191</v>
      </c>
    </row>
    <row r="155" spans="1:2">
      <c r="A155" s="58">
        <v>153</v>
      </c>
      <c r="B155" s="59">
        <v>193</v>
      </c>
    </row>
    <row r="156" spans="1:2">
      <c r="A156" s="58">
        <v>154</v>
      </c>
      <c r="B156" s="59">
        <v>194</v>
      </c>
    </row>
    <row r="157" spans="1:2">
      <c r="A157" s="58">
        <v>155</v>
      </c>
      <c r="B157" s="59">
        <v>196</v>
      </c>
    </row>
    <row r="158" spans="1:2">
      <c r="A158" s="58">
        <v>156</v>
      </c>
      <c r="B158" s="59">
        <v>198</v>
      </c>
    </row>
    <row r="159" spans="1:2">
      <c r="A159" s="58">
        <v>157</v>
      </c>
      <c r="B159" s="59">
        <v>199</v>
      </c>
    </row>
    <row r="160" spans="1:2">
      <c r="A160" s="58">
        <v>158</v>
      </c>
      <c r="B160" s="59">
        <v>201</v>
      </c>
    </row>
    <row r="161" spans="1:2">
      <c r="A161" s="58">
        <v>159</v>
      </c>
      <c r="B161" s="59">
        <v>203</v>
      </c>
    </row>
    <row r="162" spans="1:2">
      <c r="A162" s="58">
        <v>160</v>
      </c>
      <c r="B162" s="59">
        <v>204</v>
      </c>
    </row>
    <row r="163" spans="1:2">
      <c r="A163" s="58">
        <v>161</v>
      </c>
      <c r="B163" s="59">
        <v>206</v>
      </c>
    </row>
    <row r="164" spans="1:2">
      <c r="A164" s="58">
        <v>162</v>
      </c>
      <c r="B164" s="59">
        <v>208</v>
      </c>
    </row>
    <row r="165" spans="1:2">
      <c r="A165" s="58">
        <v>163</v>
      </c>
      <c r="B165" s="59">
        <v>209</v>
      </c>
    </row>
    <row r="166" spans="1:2">
      <c r="A166" s="58">
        <v>164</v>
      </c>
      <c r="B166" s="59">
        <v>211</v>
      </c>
    </row>
    <row r="167" spans="1:2">
      <c r="A167" s="58">
        <v>165</v>
      </c>
      <c r="B167" s="59">
        <v>213</v>
      </c>
    </row>
    <row r="168" spans="1:2">
      <c r="A168" s="58">
        <v>166</v>
      </c>
      <c r="B168" s="59">
        <v>214</v>
      </c>
    </row>
    <row r="169" spans="1:2">
      <c r="A169" s="58">
        <v>167</v>
      </c>
      <c r="B169" s="59">
        <v>216</v>
      </c>
    </row>
    <row r="170" spans="1:2">
      <c r="A170" s="58">
        <v>168</v>
      </c>
      <c r="B170" s="59">
        <v>218</v>
      </c>
    </row>
    <row r="171" spans="1:2">
      <c r="A171" s="58">
        <v>169</v>
      </c>
      <c r="B171" s="59">
        <v>220</v>
      </c>
    </row>
    <row r="172" spans="1:2">
      <c r="A172" s="58">
        <v>170</v>
      </c>
      <c r="B172" s="59">
        <v>221</v>
      </c>
    </row>
    <row r="173" spans="1:2">
      <c r="A173" s="58">
        <v>171</v>
      </c>
      <c r="B173" s="59">
        <v>223</v>
      </c>
    </row>
    <row r="174" spans="1:2">
      <c r="A174" s="58">
        <v>172</v>
      </c>
      <c r="B174" s="59">
        <v>225</v>
      </c>
    </row>
    <row r="175" spans="1:2">
      <c r="A175" s="58">
        <v>173</v>
      </c>
      <c r="B175" s="59">
        <v>227</v>
      </c>
    </row>
    <row r="176" spans="1:2">
      <c r="A176" s="58">
        <v>174</v>
      </c>
      <c r="B176" s="59">
        <v>228</v>
      </c>
    </row>
    <row r="177" spans="1:2">
      <c r="A177" s="58">
        <v>175</v>
      </c>
      <c r="B177" s="59">
        <v>230</v>
      </c>
    </row>
    <row r="178" spans="1:2">
      <c r="A178" s="58">
        <v>176</v>
      </c>
      <c r="B178" s="59">
        <v>232</v>
      </c>
    </row>
    <row r="179" spans="1:2">
      <c r="A179" s="58">
        <v>177</v>
      </c>
      <c r="B179" s="59">
        <v>234</v>
      </c>
    </row>
    <row r="180" spans="1:2">
      <c r="A180" s="58">
        <v>178</v>
      </c>
      <c r="B180" s="59">
        <v>236</v>
      </c>
    </row>
    <row r="181" spans="1:2">
      <c r="A181" s="58">
        <v>179</v>
      </c>
      <c r="B181" s="59">
        <v>237</v>
      </c>
    </row>
    <row r="182" spans="1:2">
      <c r="A182" s="58">
        <v>180</v>
      </c>
      <c r="B182" s="59">
        <v>239</v>
      </c>
    </row>
    <row r="183" spans="1:2">
      <c r="A183" s="58">
        <v>181</v>
      </c>
      <c r="B183" s="59">
        <v>241</v>
      </c>
    </row>
    <row r="184" spans="1:2">
      <c r="A184" s="58">
        <v>182</v>
      </c>
      <c r="B184" s="59">
        <v>243</v>
      </c>
    </row>
    <row r="185" spans="1:2">
      <c r="A185" s="58">
        <v>183</v>
      </c>
      <c r="B185" s="59">
        <v>245</v>
      </c>
    </row>
    <row r="186" spans="1:2">
      <c r="A186" s="58">
        <v>184</v>
      </c>
      <c r="B186" s="59">
        <v>246</v>
      </c>
    </row>
    <row r="187" spans="1:2">
      <c r="A187" s="58">
        <v>185</v>
      </c>
      <c r="B187" s="59">
        <v>248</v>
      </c>
    </row>
    <row r="188" spans="1:2">
      <c r="A188" s="58">
        <v>186</v>
      </c>
      <c r="B188" s="59">
        <v>250</v>
      </c>
    </row>
    <row r="189" spans="1:2">
      <c r="A189" s="58">
        <v>187</v>
      </c>
      <c r="B189" s="59">
        <v>252</v>
      </c>
    </row>
    <row r="190" spans="1:2">
      <c r="A190" s="58">
        <v>188</v>
      </c>
      <c r="B190" s="59">
        <v>254</v>
      </c>
    </row>
    <row r="191" spans="1:2">
      <c r="A191" s="58">
        <v>189</v>
      </c>
      <c r="B191" s="59">
        <v>256</v>
      </c>
    </row>
    <row r="192" spans="1:2">
      <c r="A192" s="58">
        <v>190</v>
      </c>
      <c r="B192" s="59">
        <v>258</v>
      </c>
    </row>
    <row r="193" spans="1:2">
      <c r="A193" s="58">
        <v>191</v>
      </c>
      <c r="B193" s="59">
        <v>260</v>
      </c>
    </row>
    <row r="194" spans="1:2">
      <c r="A194" s="58">
        <v>192</v>
      </c>
      <c r="B194" s="59">
        <v>262</v>
      </c>
    </row>
    <row r="195" spans="1:2">
      <c r="A195" s="58">
        <v>193</v>
      </c>
      <c r="B195" s="59">
        <v>263</v>
      </c>
    </row>
    <row r="196" spans="1:2">
      <c r="A196" s="58">
        <v>194</v>
      </c>
      <c r="B196" s="59">
        <v>265</v>
      </c>
    </row>
    <row r="197" spans="1:2">
      <c r="A197" s="58">
        <v>195</v>
      </c>
      <c r="B197" s="59">
        <v>267</v>
      </c>
    </row>
    <row r="198" spans="1:2">
      <c r="A198" s="58">
        <v>196</v>
      </c>
      <c r="B198" s="59">
        <v>269</v>
      </c>
    </row>
    <row r="199" spans="1:2">
      <c r="A199" s="58">
        <v>197</v>
      </c>
      <c r="B199" s="59">
        <v>271</v>
      </c>
    </row>
    <row r="200" spans="1:2">
      <c r="A200" s="58">
        <v>198</v>
      </c>
      <c r="B200" s="59">
        <v>273</v>
      </c>
    </row>
    <row r="201" spans="1:2">
      <c r="A201" s="58">
        <v>199</v>
      </c>
      <c r="B201" s="59">
        <v>275</v>
      </c>
    </row>
    <row r="202" spans="1:2">
      <c r="A202" s="60">
        <v>200</v>
      </c>
      <c r="B202" s="61">
        <v>277</v>
      </c>
    </row>
    <row r="203" spans="1:2">
      <c r="A203" s="56">
        <v>201</v>
      </c>
      <c r="B203" s="57">
        <v>279</v>
      </c>
    </row>
    <row r="204" spans="1:2">
      <c r="A204" s="58">
        <v>202</v>
      </c>
      <c r="B204" s="59">
        <v>281</v>
      </c>
    </row>
    <row r="205" spans="1:2">
      <c r="A205" s="58">
        <v>203</v>
      </c>
      <c r="B205" s="59">
        <v>283</v>
      </c>
    </row>
    <row r="206" spans="1:2">
      <c r="A206" s="58">
        <v>204</v>
      </c>
      <c r="B206" s="59">
        <v>285</v>
      </c>
    </row>
    <row r="207" spans="1:2">
      <c r="A207" s="58">
        <v>205</v>
      </c>
      <c r="B207" s="59">
        <v>287</v>
      </c>
    </row>
    <row r="208" spans="1:2">
      <c r="A208" s="58">
        <v>206</v>
      </c>
      <c r="B208" s="59">
        <v>289</v>
      </c>
    </row>
    <row r="209" spans="1:2">
      <c r="A209" s="58">
        <v>207</v>
      </c>
      <c r="B209" s="59">
        <v>292</v>
      </c>
    </row>
    <row r="210" spans="1:2">
      <c r="A210" s="58">
        <v>208</v>
      </c>
      <c r="B210" s="59">
        <v>294</v>
      </c>
    </row>
    <row r="211" spans="1:2">
      <c r="A211" s="58">
        <v>2029</v>
      </c>
      <c r="B211" s="59">
        <v>296</v>
      </c>
    </row>
    <row r="212" spans="1:2">
      <c r="A212" s="58">
        <v>210</v>
      </c>
      <c r="B212" s="59">
        <v>298</v>
      </c>
    </row>
    <row r="213" spans="1:2">
      <c r="A213" s="58">
        <v>211</v>
      </c>
      <c r="B213" s="59">
        <v>300</v>
      </c>
    </row>
    <row r="214" spans="1:2">
      <c r="A214" s="58">
        <v>212</v>
      </c>
      <c r="B214" s="59">
        <v>302</v>
      </c>
    </row>
    <row r="215" spans="1:2">
      <c r="A215" s="58">
        <v>213</v>
      </c>
      <c r="B215" s="59">
        <v>304</v>
      </c>
    </row>
    <row r="216" spans="1:2">
      <c r="A216" s="58">
        <v>214</v>
      </c>
      <c r="B216" s="59">
        <v>306</v>
      </c>
    </row>
    <row r="217" spans="1:2">
      <c r="A217" s="58">
        <v>215</v>
      </c>
      <c r="B217" s="59">
        <v>308</v>
      </c>
    </row>
    <row r="218" spans="1:2">
      <c r="A218" s="58">
        <v>216</v>
      </c>
      <c r="B218" s="59">
        <v>311</v>
      </c>
    </row>
    <row r="219" spans="1:2">
      <c r="A219" s="58">
        <v>217</v>
      </c>
      <c r="B219" s="59">
        <v>313</v>
      </c>
    </row>
    <row r="220" spans="1:2">
      <c r="A220" s="58">
        <v>218</v>
      </c>
      <c r="B220" s="59">
        <v>315</v>
      </c>
    </row>
    <row r="221" spans="1:2">
      <c r="A221" s="58">
        <v>219</v>
      </c>
      <c r="B221" s="59">
        <v>317</v>
      </c>
    </row>
    <row r="222" spans="1:2">
      <c r="A222" s="58">
        <v>220</v>
      </c>
      <c r="B222" s="59">
        <v>319</v>
      </c>
    </row>
    <row r="223" spans="1:2">
      <c r="A223" s="58">
        <v>221</v>
      </c>
      <c r="B223" s="59">
        <v>322</v>
      </c>
    </row>
    <row r="224" spans="1:2">
      <c r="A224" s="58">
        <v>222</v>
      </c>
      <c r="B224" s="59">
        <v>324</v>
      </c>
    </row>
    <row r="225" spans="1:2">
      <c r="A225" s="58">
        <v>223</v>
      </c>
      <c r="B225" s="59">
        <v>326</v>
      </c>
    </row>
    <row r="226" spans="1:2">
      <c r="A226" s="58">
        <v>224</v>
      </c>
      <c r="B226" s="59">
        <v>328</v>
      </c>
    </row>
    <row r="227" spans="1:2">
      <c r="A227" s="58">
        <v>225</v>
      </c>
      <c r="B227" s="59">
        <v>331</v>
      </c>
    </row>
    <row r="228" spans="1:2">
      <c r="A228" s="58">
        <v>226</v>
      </c>
      <c r="B228" s="59">
        <v>333</v>
      </c>
    </row>
    <row r="229" spans="1:2">
      <c r="A229" s="58">
        <v>227</v>
      </c>
      <c r="B229" s="59">
        <v>335</v>
      </c>
    </row>
    <row r="230" spans="1:2">
      <c r="A230" s="58">
        <v>228</v>
      </c>
      <c r="B230" s="59">
        <v>338</v>
      </c>
    </row>
    <row r="231" spans="1:2">
      <c r="A231" s="58">
        <v>229</v>
      </c>
      <c r="B231" s="59">
        <v>340</v>
      </c>
    </row>
    <row r="232" spans="1:2">
      <c r="A232" s="58">
        <v>230</v>
      </c>
      <c r="B232" s="59">
        <v>342</v>
      </c>
    </row>
    <row r="233" spans="1:2">
      <c r="A233" s="58">
        <v>231</v>
      </c>
      <c r="B233" s="59">
        <v>345</v>
      </c>
    </row>
    <row r="234" spans="1:2">
      <c r="A234" s="58">
        <v>232</v>
      </c>
      <c r="B234" s="59">
        <v>347</v>
      </c>
    </row>
    <row r="235" spans="1:2">
      <c r="A235" s="58">
        <v>233</v>
      </c>
      <c r="B235" s="59">
        <v>349</v>
      </c>
    </row>
    <row r="236" spans="1:2">
      <c r="A236" s="58">
        <v>234</v>
      </c>
      <c r="B236" s="59">
        <v>352</v>
      </c>
    </row>
    <row r="237" spans="1:2">
      <c r="A237" s="58">
        <v>235</v>
      </c>
      <c r="B237" s="59">
        <v>354</v>
      </c>
    </row>
    <row r="238" spans="1:2">
      <c r="A238" s="58">
        <v>236</v>
      </c>
      <c r="B238" s="59">
        <v>357</v>
      </c>
    </row>
    <row r="239" spans="1:2">
      <c r="A239" s="58">
        <v>237</v>
      </c>
      <c r="B239" s="59">
        <v>359</v>
      </c>
    </row>
    <row r="240" spans="1:2">
      <c r="A240" s="58">
        <v>238</v>
      </c>
      <c r="B240" s="59">
        <v>362</v>
      </c>
    </row>
    <row r="241" spans="1:2">
      <c r="A241" s="58">
        <v>239</v>
      </c>
      <c r="B241" s="59">
        <v>364</v>
      </c>
    </row>
    <row r="242" spans="1:2">
      <c r="A242" s="58">
        <v>240</v>
      </c>
      <c r="B242" s="59">
        <v>367</v>
      </c>
    </row>
    <row r="243" spans="1:2">
      <c r="A243" s="58">
        <v>241</v>
      </c>
      <c r="B243" s="59">
        <v>369</v>
      </c>
    </row>
    <row r="244" spans="1:2">
      <c r="A244" s="58">
        <v>242</v>
      </c>
      <c r="B244" s="59">
        <v>372</v>
      </c>
    </row>
    <row r="245" spans="1:2">
      <c r="A245" s="58">
        <v>243</v>
      </c>
      <c r="B245" s="59">
        <v>374</v>
      </c>
    </row>
    <row r="246" spans="1:2">
      <c r="A246" s="58">
        <v>244</v>
      </c>
      <c r="B246" s="59">
        <v>377</v>
      </c>
    </row>
    <row r="247" spans="1:2">
      <c r="A247" s="58">
        <v>245</v>
      </c>
      <c r="B247" s="59">
        <v>379</v>
      </c>
    </row>
    <row r="248" spans="1:2">
      <c r="A248" s="58">
        <v>246</v>
      </c>
      <c r="B248" s="59">
        <v>382</v>
      </c>
    </row>
    <row r="249" spans="1:2">
      <c r="A249" s="58">
        <v>247</v>
      </c>
      <c r="B249" s="59">
        <v>384</v>
      </c>
    </row>
    <row r="250" spans="1:2">
      <c r="A250" s="58">
        <v>248</v>
      </c>
      <c r="B250" s="59">
        <v>387</v>
      </c>
    </row>
    <row r="251" spans="1:2">
      <c r="A251" s="58">
        <v>249</v>
      </c>
      <c r="B251" s="59">
        <v>390</v>
      </c>
    </row>
    <row r="252" spans="1:2">
      <c r="A252" s="60">
        <v>250</v>
      </c>
      <c r="B252" s="61">
        <v>392</v>
      </c>
    </row>
    <row r="253" spans="1:2">
      <c r="A253" s="56">
        <v>251</v>
      </c>
      <c r="B253" s="57">
        <v>395</v>
      </c>
    </row>
    <row r="254" spans="1:2">
      <c r="A254" s="58">
        <v>252</v>
      </c>
      <c r="B254" s="59">
        <v>398</v>
      </c>
    </row>
    <row r="255" spans="1:2">
      <c r="A255" s="58">
        <v>253</v>
      </c>
      <c r="B255" s="59">
        <v>400</v>
      </c>
    </row>
    <row r="256" spans="1:2">
      <c r="A256" s="58">
        <v>254</v>
      </c>
      <c r="B256" s="59">
        <v>403</v>
      </c>
    </row>
    <row r="257" spans="1:2">
      <c r="A257" s="58">
        <v>255</v>
      </c>
      <c r="B257" s="59">
        <v>406</v>
      </c>
    </row>
    <row r="258" spans="1:2">
      <c r="A258" s="58">
        <v>256</v>
      </c>
      <c r="B258" s="59">
        <v>409</v>
      </c>
    </row>
    <row r="259" spans="1:2">
      <c r="A259" s="58">
        <v>257</v>
      </c>
      <c r="B259" s="59">
        <v>411</v>
      </c>
    </row>
    <row r="260" spans="1:2">
      <c r="A260" s="58">
        <v>258</v>
      </c>
      <c r="B260" s="59">
        <v>414</v>
      </c>
    </row>
    <row r="261" spans="1:2">
      <c r="A261" s="58">
        <v>259</v>
      </c>
      <c r="B261" s="59">
        <v>417</v>
      </c>
    </row>
    <row r="262" spans="1:2">
      <c r="A262" s="58">
        <v>260</v>
      </c>
      <c r="B262" s="59">
        <v>420</v>
      </c>
    </row>
    <row r="263" spans="1:2">
      <c r="A263" s="58">
        <v>261</v>
      </c>
      <c r="B263" s="59">
        <v>423</v>
      </c>
    </row>
    <row r="264" spans="1:2">
      <c r="A264" s="58">
        <v>262</v>
      </c>
      <c r="B264" s="59">
        <v>426</v>
      </c>
    </row>
    <row r="265" spans="1:2">
      <c r="A265" s="58">
        <v>263</v>
      </c>
      <c r="B265" s="59">
        <v>429</v>
      </c>
    </row>
    <row r="266" spans="1:2">
      <c r="A266" s="58">
        <v>264</v>
      </c>
      <c r="B266" s="59">
        <v>432</v>
      </c>
    </row>
    <row r="267" spans="1:2">
      <c r="A267" s="58">
        <v>265</v>
      </c>
      <c r="B267" s="59">
        <v>434</v>
      </c>
    </row>
    <row r="268" spans="1:2">
      <c r="A268" s="58">
        <v>266</v>
      </c>
      <c r="B268" s="59">
        <v>437</v>
      </c>
    </row>
    <row r="269" spans="1:2">
      <c r="A269" s="58">
        <v>267</v>
      </c>
      <c r="B269" s="59">
        <v>440</v>
      </c>
    </row>
    <row r="270" spans="1:2">
      <c r="A270" s="58">
        <v>268</v>
      </c>
      <c r="B270" s="59">
        <v>443</v>
      </c>
    </row>
    <row r="271" spans="1:2">
      <c r="A271" s="58">
        <v>269</v>
      </c>
      <c r="B271" s="59">
        <v>447</v>
      </c>
    </row>
    <row r="272" spans="1:2">
      <c r="A272" s="58">
        <v>270</v>
      </c>
      <c r="B272" s="59">
        <v>450</v>
      </c>
    </row>
    <row r="273" spans="1:2">
      <c r="A273" s="58">
        <v>271</v>
      </c>
      <c r="B273" s="59">
        <v>453</v>
      </c>
    </row>
    <row r="274" spans="1:2">
      <c r="A274" s="58">
        <v>272</v>
      </c>
      <c r="B274" s="59">
        <v>456</v>
      </c>
    </row>
    <row r="275" spans="1:2">
      <c r="A275" s="58">
        <v>273</v>
      </c>
      <c r="B275" s="59">
        <v>459</v>
      </c>
    </row>
    <row r="276" spans="1:2">
      <c r="A276" s="58">
        <v>274</v>
      </c>
      <c r="B276" s="59">
        <v>462</v>
      </c>
    </row>
    <row r="277" spans="1:2">
      <c r="A277" s="58">
        <v>275</v>
      </c>
      <c r="B277" s="59">
        <v>465</v>
      </c>
    </row>
    <row r="278" spans="1:2">
      <c r="A278" s="58">
        <v>276</v>
      </c>
      <c r="B278" s="59">
        <v>468</v>
      </c>
    </row>
    <row r="279" spans="1:2">
      <c r="A279" s="58">
        <v>277</v>
      </c>
      <c r="B279" s="59">
        <v>472</v>
      </c>
    </row>
    <row r="280" spans="1:2">
      <c r="A280" s="58">
        <v>278</v>
      </c>
      <c r="B280" s="59">
        <v>475</v>
      </c>
    </row>
    <row r="281" spans="1:2">
      <c r="A281" s="58">
        <v>279</v>
      </c>
      <c r="B281" s="59">
        <v>478</v>
      </c>
    </row>
    <row r="282" spans="1:2">
      <c r="A282" s="58">
        <v>280</v>
      </c>
      <c r="B282" s="59">
        <v>482</v>
      </c>
    </row>
    <row r="283" spans="1:2">
      <c r="A283" s="58">
        <v>281</v>
      </c>
      <c r="B283" s="59">
        <v>485</v>
      </c>
    </row>
    <row r="284" spans="1:2">
      <c r="A284" s="58">
        <v>282</v>
      </c>
      <c r="B284" s="59">
        <v>488</v>
      </c>
    </row>
    <row r="285" spans="1:2">
      <c r="A285" s="58">
        <v>283</v>
      </c>
      <c r="B285" s="59">
        <v>492</v>
      </c>
    </row>
    <row r="286" spans="1:2">
      <c r="A286" s="58">
        <v>284</v>
      </c>
      <c r="B286" s="59">
        <v>495</v>
      </c>
    </row>
    <row r="287" spans="1:2">
      <c r="A287" s="58">
        <v>285</v>
      </c>
      <c r="B287" s="59">
        <v>499</v>
      </c>
    </row>
    <row r="288" spans="1:2">
      <c r="A288" s="58">
        <v>286</v>
      </c>
      <c r="B288" s="59">
        <v>502</v>
      </c>
    </row>
    <row r="289" spans="1:2">
      <c r="A289" s="58">
        <v>287</v>
      </c>
      <c r="B289" s="59">
        <v>505</v>
      </c>
    </row>
    <row r="290" spans="1:2">
      <c r="A290" s="58">
        <v>288</v>
      </c>
      <c r="B290" s="59">
        <v>508</v>
      </c>
    </row>
    <row r="291" spans="1:2">
      <c r="A291" s="58">
        <v>289</v>
      </c>
      <c r="B291" s="59">
        <v>513</v>
      </c>
    </row>
    <row r="292" spans="1:2">
      <c r="A292" s="58">
        <v>290</v>
      </c>
      <c r="B292" s="59">
        <v>516</v>
      </c>
    </row>
    <row r="293" spans="1:2">
      <c r="A293" s="58">
        <v>291</v>
      </c>
      <c r="B293" s="59">
        <v>520</v>
      </c>
    </row>
    <row r="294" spans="1:2">
      <c r="A294" s="58">
        <v>292</v>
      </c>
      <c r="B294" s="59">
        <v>524</v>
      </c>
    </row>
    <row r="295" spans="1:2">
      <c r="A295" s="58">
        <v>293</v>
      </c>
      <c r="B295" s="59">
        <v>527</v>
      </c>
    </row>
    <row r="296" spans="1:2">
      <c r="A296" s="58">
        <v>294</v>
      </c>
      <c r="B296" s="59">
        <v>531</v>
      </c>
    </row>
    <row r="297" spans="1:2">
      <c r="A297" s="58">
        <v>295</v>
      </c>
      <c r="B297" s="59">
        <v>535</v>
      </c>
    </row>
    <row r="298" spans="1:2">
      <c r="A298" s="58">
        <v>296</v>
      </c>
      <c r="B298" s="59">
        <v>539</v>
      </c>
    </row>
    <row r="299" spans="1:2">
      <c r="A299" s="58">
        <v>297</v>
      </c>
      <c r="B299" s="59">
        <v>543</v>
      </c>
    </row>
    <row r="300" spans="1:2">
      <c r="A300" s="58">
        <v>298</v>
      </c>
      <c r="B300" s="59">
        <v>547</v>
      </c>
    </row>
    <row r="301" spans="1:2">
      <c r="A301" s="58">
        <v>299</v>
      </c>
      <c r="B301" s="59">
        <v>551</v>
      </c>
    </row>
    <row r="302" spans="1:2">
      <c r="A302" s="60">
        <v>300</v>
      </c>
      <c r="B302" s="61">
        <v>555</v>
      </c>
    </row>
    <row r="303" spans="1:2">
      <c r="A303" s="56">
        <v>301</v>
      </c>
      <c r="B303" s="57">
        <v>559</v>
      </c>
    </row>
    <row r="304" spans="1:2">
      <c r="A304" s="58">
        <v>302</v>
      </c>
      <c r="B304" s="59">
        <v>563</v>
      </c>
    </row>
    <row r="305" spans="1:2">
      <c r="A305" s="58">
        <v>303</v>
      </c>
      <c r="B305" s="59">
        <v>567</v>
      </c>
    </row>
    <row r="306" spans="1:2">
      <c r="A306" s="58">
        <v>304</v>
      </c>
      <c r="B306" s="59">
        <v>571</v>
      </c>
    </row>
    <row r="307" spans="1:2">
      <c r="A307" s="58">
        <v>305</v>
      </c>
      <c r="B307" s="59">
        <v>575</v>
      </c>
    </row>
    <row r="308" spans="1:2">
      <c r="A308" s="58">
        <v>306</v>
      </c>
      <c r="B308" s="59">
        <v>579</v>
      </c>
    </row>
    <row r="309" spans="1:2">
      <c r="A309" s="58">
        <v>307</v>
      </c>
      <c r="B309" s="59">
        <v>584</v>
      </c>
    </row>
    <row r="310" spans="1:2">
      <c r="A310" s="58">
        <v>308</v>
      </c>
      <c r="B310" s="59">
        <v>588</v>
      </c>
    </row>
    <row r="311" spans="1:2">
      <c r="A311" s="58">
        <v>309</v>
      </c>
      <c r="B311" s="59">
        <v>592</v>
      </c>
    </row>
    <row r="312" spans="1:2">
      <c r="A312" s="58">
        <v>310</v>
      </c>
      <c r="B312" s="59">
        <v>597</v>
      </c>
    </row>
    <row r="313" spans="1:2">
      <c r="A313" s="58">
        <v>311</v>
      </c>
      <c r="B313" s="59">
        <v>601</v>
      </c>
    </row>
    <row r="314" spans="1:2">
      <c r="A314" s="58">
        <v>312</v>
      </c>
      <c r="B314" s="59">
        <v>606</v>
      </c>
    </row>
    <row r="315" spans="1:2">
      <c r="A315" s="58">
        <v>313</v>
      </c>
      <c r="B315" s="59">
        <v>610</v>
      </c>
    </row>
    <row r="316" spans="1:2">
      <c r="A316" s="58">
        <v>314</v>
      </c>
      <c r="B316" s="59">
        <v>615</v>
      </c>
    </row>
    <row r="317" spans="1:2">
      <c r="A317" s="58">
        <v>315</v>
      </c>
      <c r="B317" s="59">
        <v>620</v>
      </c>
    </row>
    <row r="318" spans="1:2">
      <c r="A318" s="58">
        <v>316</v>
      </c>
      <c r="B318" s="59">
        <v>624</v>
      </c>
    </row>
    <row r="319" spans="1:2">
      <c r="A319" s="58">
        <v>317</v>
      </c>
      <c r="B319" s="59">
        <v>629</v>
      </c>
    </row>
    <row r="320" spans="1:2">
      <c r="A320" s="58">
        <v>318</v>
      </c>
      <c r="B320" s="59">
        <v>634</v>
      </c>
    </row>
    <row r="321" spans="1:2">
      <c r="A321" s="58">
        <v>319</v>
      </c>
      <c r="B321" s="59">
        <v>639</v>
      </c>
    </row>
    <row r="322" spans="1:2">
      <c r="A322" s="58">
        <v>320</v>
      </c>
      <c r="B322" s="59">
        <v>644</v>
      </c>
    </row>
    <row r="323" spans="1:2">
      <c r="A323" s="58">
        <v>321</v>
      </c>
      <c r="B323" s="59">
        <v>649</v>
      </c>
    </row>
    <row r="324" spans="1:2">
      <c r="A324" s="58">
        <v>322</v>
      </c>
      <c r="B324" s="59">
        <v>654</v>
      </c>
    </row>
    <row r="325" spans="1:2">
      <c r="A325" s="58">
        <v>323</v>
      </c>
      <c r="B325" s="59">
        <v>659</v>
      </c>
    </row>
    <row r="326" spans="1:2">
      <c r="A326" s="58">
        <v>324</v>
      </c>
      <c r="B326" s="59">
        <v>664</v>
      </c>
    </row>
    <row r="327" spans="1:2">
      <c r="A327" s="58">
        <v>325</v>
      </c>
      <c r="B327" s="59">
        <v>670</v>
      </c>
    </row>
    <row r="328" spans="1:2">
      <c r="A328" s="58">
        <v>326</v>
      </c>
      <c r="B328" s="59">
        <v>675</v>
      </c>
    </row>
    <row r="329" spans="1:2">
      <c r="A329" s="58">
        <v>327</v>
      </c>
      <c r="B329" s="59">
        <v>680</v>
      </c>
    </row>
    <row r="330" spans="1:2">
      <c r="A330" s="58">
        <v>328</v>
      </c>
      <c r="B330" s="59">
        <v>686</v>
      </c>
    </row>
    <row r="331" spans="1:2">
      <c r="A331" s="58">
        <v>329</v>
      </c>
      <c r="B331" s="59">
        <v>692</v>
      </c>
    </row>
    <row r="332" spans="1:2">
      <c r="A332" s="58">
        <v>330</v>
      </c>
      <c r="B332" s="59">
        <v>697</v>
      </c>
    </row>
    <row r="333" spans="1:2">
      <c r="A333" s="58">
        <v>331</v>
      </c>
      <c r="B333" s="59">
        <v>703</v>
      </c>
    </row>
    <row r="334" spans="1:2">
      <c r="A334" s="58">
        <v>332</v>
      </c>
      <c r="B334" s="59">
        <v>709</v>
      </c>
    </row>
    <row r="335" spans="1:2">
      <c r="A335" s="58">
        <v>333</v>
      </c>
      <c r="B335" s="59">
        <v>715</v>
      </c>
    </row>
    <row r="336" spans="1:2">
      <c r="A336" s="58">
        <v>334</v>
      </c>
      <c r="B336" s="59">
        <v>721</v>
      </c>
    </row>
    <row r="337" spans="1:2">
      <c r="A337" s="58">
        <v>335</v>
      </c>
      <c r="B337" s="59">
        <v>727</v>
      </c>
    </row>
    <row r="338" spans="1:2">
      <c r="A338" s="58">
        <v>336</v>
      </c>
      <c r="B338" s="59">
        <v>733</v>
      </c>
    </row>
    <row r="339" spans="1:2">
      <c r="A339" s="58">
        <v>337</v>
      </c>
      <c r="B339" s="59">
        <v>739</v>
      </c>
    </row>
    <row r="340" spans="1:2">
      <c r="A340" s="58">
        <v>338</v>
      </c>
      <c r="B340" s="59">
        <v>746</v>
      </c>
    </row>
    <row r="341" spans="1:2">
      <c r="A341" s="58">
        <v>339</v>
      </c>
      <c r="B341" s="59">
        <v>752</v>
      </c>
    </row>
    <row r="342" spans="1:2">
      <c r="A342" s="58">
        <v>340</v>
      </c>
      <c r="B342" s="59">
        <v>759</v>
      </c>
    </row>
    <row r="343" spans="1:2">
      <c r="A343" s="58">
        <v>341</v>
      </c>
      <c r="B343" s="59">
        <v>765</v>
      </c>
    </row>
    <row r="344" spans="1:2">
      <c r="A344" s="58">
        <v>342</v>
      </c>
      <c r="B344" s="59">
        <v>772</v>
      </c>
    </row>
    <row r="345" spans="1:2">
      <c r="A345" s="58">
        <v>343</v>
      </c>
      <c r="B345" s="59">
        <v>779</v>
      </c>
    </row>
    <row r="346" spans="1:2">
      <c r="A346" s="58">
        <v>344</v>
      </c>
      <c r="B346" s="59">
        <v>786</v>
      </c>
    </row>
    <row r="347" spans="1:2">
      <c r="A347" s="58">
        <v>345</v>
      </c>
      <c r="B347" s="59">
        <v>793</v>
      </c>
    </row>
    <row r="348" spans="1:2">
      <c r="A348" s="58">
        <v>346</v>
      </c>
      <c r="B348" s="59">
        <v>801</v>
      </c>
    </row>
    <row r="349" spans="1:2">
      <c r="A349" s="58">
        <v>347</v>
      </c>
      <c r="B349" s="59">
        <v>808</v>
      </c>
    </row>
    <row r="350" spans="1:2">
      <c r="A350" s="58">
        <v>348</v>
      </c>
      <c r="B350" s="59">
        <v>816</v>
      </c>
    </row>
    <row r="351" spans="1:2">
      <c r="A351" s="58">
        <v>349</v>
      </c>
      <c r="B351" s="59">
        <v>824</v>
      </c>
    </row>
    <row r="352" spans="1:2">
      <c r="A352" s="60">
        <v>350</v>
      </c>
      <c r="B352" s="61">
        <v>832</v>
      </c>
    </row>
    <row r="353" spans="1:2">
      <c r="A353" s="56">
        <v>351</v>
      </c>
      <c r="B353" s="57">
        <v>840</v>
      </c>
    </row>
    <row r="354" spans="1:2">
      <c r="A354" s="58">
        <v>352</v>
      </c>
      <c r="B354" s="59">
        <v>848</v>
      </c>
    </row>
    <row r="355" spans="1:2">
      <c r="A355" s="58">
        <v>353</v>
      </c>
      <c r="B355" s="59">
        <v>857</v>
      </c>
    </row>
    <row r="356" spans="1:2">
      <c r="A356" s="58">
        <v>354</v>
      </c>
      <c r="B356" s="59">
        <v>865</v>
      </c>
    </row>
    <row r="357" spans="1:2">
      <c r="A357" s="58">
        <v>355</v>
      </c>
      <c r="B357" s="59">
        <v>874</v>
      </c>
    </row>
    <row r="358" spans="1:2">
      <c r="A358" s="58">
        <v>356</v>
      </c>
      <c r="B358" s="59">
        <v>883</v>
      </c>
    </row>
    <row r="359" spans="1:2">
      <c r="A359" s="58">
        <v>357</v>
      </c>
      <c r="B359" s="59">
        <v>892</v>
      </c>
    </row>
    <row r="360" spans="1:2">
      <c r="A360" s="58">
        <v>358</v>
      </c>
      <c r="B360" s="59">
        <v>902</v>
      </c>
    </row>
    <row r="361" spans="1:2">
      <c r="A361" s="58">
        <v>359</v>
      </c>
      <c r="B361" s="59">
        <v>911</v>
      </c>
    </row>
    <row r="362" spans="1:2">
      <c r="A362" s="58">
        <v>360</v>
      </c>
      <c r="B362" s="59">
        <v>921</v>
      </c>
    </row>
    <row r="363" spans="1:2">
      <c r="A363" s="58">
        <v>361</v>
      </c>
      <c r="B363" s="59">
        <v>931</v>
      </c>
    </row>
    <row r="364" spans="1:2">
      <c r="A364" s="58">
        <v>362</v>
      </c>
      <c r="B364" s="59">
        <v>942</v>
      </c>
    </row>
    <row r="365" spans="1:2">
      <c r="A365" s="58">
        <v>363</v>
      </c>
      <c r="B365" s="59">
        <v>952</v>
      </c>
    </row>
    <row r="366" spans="1:2">
      <c r="A366" s="58">
        <v>364</v>
      </c>
      <c r="B366" s="59">
        <v>963</v>
      </c>
    </row>
    <row r="367" spans="1:2">
      <c r="A367" s="58">
        <v>365</v>
      </c>
      <c r="B367" s="59">
        <v>974</v>
      </c>
    </row>
    <row r="368" spans="1:2">
      <c r="A368" s="58">
        <v>366</v>
      </c>
      <c r="B368" s="59">
        <v>986</v>
      </c>
    </row>
    <row r="369" spans="1:2">
      <c r="A369" s="58">
        <v>367</v>
      </c>
      <c r="B369" s="59">
        <v>998</v>
      </c>
    </row>
    <row r="370" spans="1:2">
      <c r="A370" s="58">
        <v>368</v>
      </c>
      <c r="B370" s="59">
        <v>1010</v>
      </c>
    </row>
    <row r="371" spans="1:2">
      <c r="A371" s="58">
        <v>369</v>
      </c>
      <c r="B371" s="59">
        <v>1023</v>
      </c>
    </row>
    <row r="372" spans="1:2">
      <c r="A372" s="58">
        <v>370</v>
      </c>
      <c r="B372" s="59">
        <v>1036</v>
      </c>
    </row>
    <row r="373" spans="1:2">
      <c r="A373" s="58">
        <v>371</v>
      </c>
      <c r="B373" s="59">
        <v>1050</v>
      </c>
    </row>
    <row r="374" spans="1:2">
      <c r="A374" s="58">
        <v>382</v>
      </c>
      <c r="B374" s="59">
        <v>1064</v>
      </c>
    </row>
    <row r="375" spans="1:2">
      <c r="A375" s="58">
        <v>373</v>
      </c>
      <c r="B375" s="59">
        <v>1078</v>
      </c>
    </row>
    <row r="376" spans="1:2">
      <c r="A376" s="58">
        <v>374</v>
      </c>
      <c r="B376" s="59">
        <v>1093</v>
      </c>
    </row>
    <row r="377" spans="1:2">
      <c r="A377" s="58">
        <v>375</v>
      </c>
      <c r="B377" s="59">
        <v>1109</v>
      </c>
    </row>
    <row r="378" spans="1:2">
      <c r="A378" s="58">
        <v>376</v>
      </c>
      <c r="B378" s="59">
        <v>1123</v>
      </c>
    </row>
    <row r="379" spans="1:2">
      <c r="A379" s="58">
        <v>377</v>
      </c>
      <c r="B379" s="59">
        <v>1142</v>
      </c>
    </row>
    <row r="380" spans="1:2">
      <c r="A380" s="58">
        <v>378</v>
      </c>
      <c r="B380" s="59">
        <v>1160</v>
      </c>
    </row>
    <row r="381" spans="1:2">
      <c r="A381" s="58">
        <v>379</v>
      </c>
      <c r="B381" s="59">
        <v>1179</v>
      </c>
    </row>
    <row r="382" spans="1:2">
      <c r="A382" s="58">
        <v>380</v>
      </c>
      <c r="B382" s="59">
        <v>1198</v>
      </c>
    </row>
    <row r="383" spans="1:2">
      <c r="A383" s="58">
        <v>381</v>
      </c>
      <c r="B383" s="59">
        <v>1219</v>
      </c>
    </row>
    <row r="384" spans="1:2">
      <c r="A384" s="58">
        <v>382</v>
      </c>
      <c r="B384" s="59">
        <v>1241</v>
      </c>
    </row>
    <row r="385" spans="1:2">
      <c r="A385" s="58">
        <v>383</v>
      </c>
      <c r="B385" s="59">
        <v>1263</v>
      </c>
    </row>
    <row r="386" spans="1:2">
      <c r="A386" s="58">
        <v>384</v>
      </c>
      <c r="B386" s="59">
        <v>1288</v>
      </c>
    </row>
    <row r="387" spans="1:2">
      <c r="A387" s="58">
        <v>385</v>
      </c>
      <c r="B387" s="59">
        <v>1314</v>
      </c>
    </row>
    <row r="388" spans="1:2">
      <c r="A388" s="58">
        <v>386</v>
      </c>
      <c r="B388" s="59">
        <v>1341</v>
      </c>
    </row>
    <row r="389" spans="1:2">
      <c r="A389" s="58">
        <v>387</v>
      </c>
      <c r="B389" s="59">
        <v>1371</v>
      </c>
    </row>
    <row r="390" spans="1:2">
      <c r="A390" s="58">
        <v>388</v>
      </c>
      <c r="B390" s="59">
        <v>1403</v>
      </c>
    </row>
    <row r="391" spans="1:2">
      <c r="A391" s="58">
        <v>389</v>
      </c>
      <c r="B391" s="59">
        <v>1438</v>
      </c>
    </row>
    <row r="392" spans="1:2">
      <c r="A392" s="58">
        <v>390</v>
      </c>
      <c r="B392" s="59">
        <v>1476</v>
      </c>
    </row>
    <row r="393" spans="1:2">
      <c r="A393" s="58">
        <v>391</v>
      </c>
      <c r="B393" s="59">
        <v>1518</v>
      </c>
    </row>
    <row r="394" spans="1:2">
      <c r="A394" s="58">
        <v>392</v>
      </c>
      <c r="B394" s="59">
        <v>1565</v>
      </c>
    </row>
    <row r="395" spans="1:2">
      <c r="A395" s="58">
        <v>393</v>
      </c>
      <c r="B395" s="59">
        <v>1619</v>
      </c>
    </row>
    <row r="396" spans="1:2">
      <c r="A396" s="58">
        <v>394</v>
      </c>
      <c r="B396" s="59">
        <v>1681</v>
      </c>
    </row>
    <row r="397" spans="1:2">
      <c r="A397" s="58">
        <v>395</v>
      </c>
      <c r="B397" s="59">
        <v>1754</v>
      </c>
    </row>
    <row r="398" spans="1:2">
      <c r="A398" s="58">
        <v>396</v>
      </c>
      <c r="B398" s="59">
        <v>1844</v>
      </c>
    </row>
    <row r="399" spans="1:2">
      <c r="A399" s="58">
        <v>397</v>
      </c>
      <c r="B399" s="59">
        <v>1961</v>
      </c>
    </row>
    <row r="400" spans="1:2">
      <c r="A400" s="58">
        <v>398</v>
      </c>
      <c r="B400" s="59">
        <v>2127</v>
      </c>
    </row>
    <row r="401" spans="1:2">
      <c r="A401" s="58">
        <v>399</v>
      </c>
      <c r="B401" s="59">
        <v>2427</v>
      </c>
    </row>
    <row r="402" spans="1:2">
      <c r="A402" s="60">
        <v>400</v>
      </c>
      <c r="B402" s="61" t="s">
        <v>187</v>
      </c>
    </row>
  </sheetData>
  <phoneticPr fontId="37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R29"/>
  <sheetViews>
    <sheetView view="pageBreakPreview" topLeftCell="A10" zoomScaleNormal="100" zoomScaleSheetLayoutView="100" workbookViewId="0">
      <selection activeCell="M5" sqref="M5:R5"/>
    </sheetView>
  </sheetViews>
  <sheetFormatPr defaultColWidth="9" defaultRowHeight="16.5"/>
  <cols>
    <col min="1" max="1" width="9" bestFit="1" customWidth="1"/>
    <col min="2" max="2" width="11.875" customWidth="1"/>
    <col min="3" max="14" width="5.25" customWidth="1"/>
    <col min="15" max="18" width="6.875" customWidth="1"/>
  </cols>
  <sheetData>
    <row r="1" spans="1:18" ht="20.25">
      <c r="A1" s="941" t="s">
        <v>392</v>
      </c>
      <c r="B1" s="941"/>
      <c r="C1" s="941"/>
      <c r="D1" s="941"/>
      <c r="E1" s="941"/>
      <c r="F1" s="941"/>
      <c r="G1" s="941"/>
      <c r="H1" s="941"/>
      <c r="I1" s="941"/>
      <c r="J1" s="941"/>
      <c r="K1" s="941"/>
      <c r="L1" s="941"/>
      <c r="M1" s="941"/>
      <c r="N1" s="1055"/>
      <c r="O1" s="943" t="s">
        <v>12</v>
      </c>
      <c r="P1" s="944"/>
      <c r="Q1" s="943" t="s">
        <v>26</v>
      </c>
      <c r="R1" s="944"/>
    </row>
    <row r="2" spans="1:18" ht="49.5" customHeight="1">
      <c r="A2" s="945" t="s">
        <v>296</v>
      </c>
      <c r="B2" s="945"/>
      <c r="C2" s="94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47"/>
      <c r="P2" s="948"/>
      <c r="Q2" s="947"/>
      <c r="R2" s="948"/>
    </row>
    <row r="3" spans="1:18" ht="22.5" customHeight="1">
      <c r="A3" s="949" t="s">
        <v>29</v>
      </c>
      <c r="B3" s="950"/>
      <c r="C3" s="951" t="str">
        <f>'입력1(학교시설명 등 기본사항 입력) 보고서1,2'!C2</f>
        <v>평촌경영고등학교</v>
      </c>
      <c r="D3" s="951"/>
      <c r="E3" s="951"/>
      <c r="F3" s="951"/>
      <c r="G3" s="951"/>
      <c r="H3" s="951"/>
      <c r="I3" s="950" t="s">
        <v>28</v>
      </c>
      <c r="J3" s="950"/>
      <c r="K3" s="950"/>
      <c r="L3" s="950"/>
      <c r="M3" s="1056" t="str">
        <f>'입력1(학교시설명 등 기본사항 입력) 보고서1,2'!C2</f>
        <v>평촌경영고등학교</v>
      </c>
      <c r="N3" s="1056"/>
      <c r="O3" s="1056"/>
      <c r="P3" s="1056"/>
      <c r="Q3" s="1056"/>
      <c r="R3" s="1057"/>
    </row>
    <row r="4" spans="1:18" ht="22.5" customHeight="1">
      <c r="A4" s="955" t="s">
        <v>23</v>
      </c>
      <c r="B4" s="956"/>
      <c r="C4" s="957" t="str">
        <f>'입력1(학교시설명 등 기본사항 입력) 보고서1,2'!C13</f>
        <v>2026.06.10</v>
      </c>
      <c r="D4" s="957"/>
      <c r="E4" s="957"/>
      <c r="F4" s="957"/>
      <c r="G4" s="957"/>
      <c r="H4" s="957"/>
      <c r="I4" s="956" t="s">
        <v>25</v>
      </c>
      <c r="J4" s="956"/>
      <c r="K4" s="956"/>
      <c r="L4" s="956"/>
      <c r="M4" s="1058" t="str">
        <f>'부유세균(시험기록부)'!M4</f>
        <v>2026년 06월 12일 ~ 06월 13일</v>
      </c>
      <c r="N4" s="1058"/>
      <c r="O4" s="1058"/>
      <c r="P4" s="1058"/>
      <c r="Q4" s="1058"/>
      <c r="R4" s="1059"/>
    </row>
    <row r="5" spans="1:18" ht="22.5" customHeight="1">
      <c r="A5" s="955" t="s">
        <v>15</v>
      </c>
      <c r="B5" s="956"/>
      <c r="C5" s="931" t="str">
        <f>'입력1(학교시설명 등 기본사항 입력) 보고서1,2'!I15</f>
        <v>박정식</v>
      </c>
      <c r="D5" s="931"/>
      <c r="E5" s="931"/>
      <c r="F5" s="931"/>
      <c r="G5" s="931"/>
      <c r="H5" s="931"/>
      <c r="I5" s="956" t="s">
        <v>22</v>
      </c>
      <c r="J5" s="956"/>
      <c r="K5" s="956"/>
      <c r="L5" s="956"/>
      <c r="M5" s="1060" t="str">
        <f>'입력2(측정)'!B1</f>
        <v>유재혁</v>
      </c>
      <c r="N5" s="1060"/>
      <c r="O5" s="1060"/>
      <c r="P5" s="1060"/>
      <c r="Q5" s="1060"/>
      <c r="R5" s="1061"/>
    </row>
    <row r="6" spans="1:18" ht="9" customHeight="1">
      <c r="A6" s="964" t="s">
        <v>20</v>
      </c>
      <c r="B6" s="965"/>
      <c r="C6" s="968" t="str">
        <f>'입력2(측정)'!B52</f>
        <v>급식시설</v>
      </c>
      <c r="D6" s="969"/>
      <c r="E6" s="969"/>
      <c r="F6" s="970"/>
      <c r="G6" s="968" t="str">
        <f>'입력2(측정)'!B53</f>
        <v>보건실</v>
      </c>
      <c r="H6" s="969"/>
      <c r="I6" s="969"/>
      <c r="J6" s="970"/>
      <c r="K6" s="1062"/>
      <c r="L6" s="969"/>
      <c r="M6" s="969"/>
      <c r="N6" s="970"/>
      <c r="O6" s="1062"/>
      <c r="P6" s="969"/>
      <c r="Q6" s="969"/>
      <c r="R6" s="970"/>
    </row>
    <row r="7" spans="1:18" ht="9" customHeight="1">
      <c r="A7" s="966"/>
      <c r="B7" s="967"/>
      <c r="C7" s="971"/>
      <c r="D7" s="972"/>
      <c r="E7" s="972"/>
      <c r="F7" s="973"/>
      <c r="G7" s="971"/>
      <c r="H7" s="972"/>
      <c r="I7" s="972"/>
      <c r="J7" s="973"/>
      <c r="K7" s="971"/>
      <c r="L7" s="972"/>
      <c r="M7" s="972"/>
      <c r="N7" s="973"/>
      <c r="O7" s="971"/>
      <c r="P7" s="972"/>
      <c r="Q7" s="972"/>
      <c r="R7" s="973"/>
    </row>
    <row r="8" spans="1:18" ht="22.5" customHeight="1">
      <c r="A8" s="974" t="s">
        <v>39</v>
      </c>
      <c r="B8" s="975"/>
      <c r="C8" s="976" t="s">
        <v>187</v>
      </c>
      <c r="D8" s="976"/>
      <c r="E8" s="976"/>
      <c r="F8" s="976"/>
      <c r="G8" s="977" t="s">
        <v>187</v>
      </c>
      <c r="H8" s="977"/>
      <c r="I8" s="977"/>
      <c r="J8" s="977"/>
      <c r="K8" s="978"/>
      <c r="L8" s="978"/>
      <c r="M8" s="978"/>
      <c r="N8" s="978"/>
      <c r="O8" s="978"/>
      <c r="P8" s="978"/>
      <c r="Q8" s="978"/>
      <c r="R8" s="979"/>
    </row>
    <row r="9" spans="1:18" ht="22.5" customHeight="1">
      <c r="A9" s="974" t="s">
        <v>38</v>
      </c>
      <c r="B9" s="975"/>
      <c r="C9" s="976" t="s">
        <v>187</v>
      </c>
      <c r="D9" s="976"/>
      <c r="E9" s="976"/>
      <c r="F9" s="976"/>
      <c r="G9" s="977" t="s">
        <v>187</v>
      </c>
      <c r="H9" s="977"/>
      <c r="I9" s="977"/>
      <c r="J9" s="977"/>
      <c r="K9" s="978"/>
      <c r="L9" s="978"/>
      <c r="M9" s="978"/>
      <c r="N9" s="978"/>
      <c r="O9" s="978"/>
      <c r="P9" s="978"/>
      <c r="Q9" s="978"/>
      <c r="R9" s="979"/>
    </row>
    <row r="10" spans="1:18" ht="22.5" customHeight="1">
      <c r="A10" s="980" t="s">
        <v>396</v>
      </c>
      <c r="B10" s="981"/>
      <c r="C10" s="982" t="s">
        <v>187</v>
      </c>
      <c r="D10" s="982"/>
      <c r="E10" s="982"/>
      <c r="F10" s="982"/>
      <c r="G10" s="983" t="s">
        <v>187</v>
      </c>
      <c r="H10" s="983"/>
      <c r="I10" s="983"/>
      <c r="J10" s="983"/>
      <c r="K10" s="984"/>
      <c r="L10" s="984"/>
      <c r="M10" s="984"/>
      <c r="N10" s="984"/>
      <c r="O10" s="984"/>
      <c r="P10" s="984"/>
      <c r="Q10" s="984"/>
      <c r="R10" s="985"/>
    </row>
    <row r="11" spans="1:18">
      <c r="A11" s="9"/>
      <c r="B11" s="9"/>
      <c r="C11" s="136"/>
      <c r="D11" s="136"/>
      <c r="E11" s="136"/>
      <c r="F11" s="136"/>
      <c r="G11" s="137"/>
      <c r="H11" s="137"/>
      <c r="I11" s="137"/>
      <c r="J11" s="137"/>
      <c r="K11" s="138"/>
      <c r="L11" s="138"/>
      <c r="M11" s="138"/>
      <c r="N11" s="138"/>
      <c r="O11" s="138"/>
      <c r="P11" s="138"/>
      <c r="Q11" s="138"/>
      <c r="R11" s="138"/>
    </row>
    <row r="12" spans="1:18" ht="60" customHeight="1">
      <c r="A12" s="986" t="s">
        <v>295</v>
      </c>
      <c r="B12" s="987"/>
      <c r="C12" s="987"/>
      <c r="D12" s="987"/>
      <c r="E12" s="987"/>
      <c r="F12" s="987"/>
      <c r="G12" s="987"/>
      <c r="H12" s="987"/>
      <c r="I12" s="987"/>
      <c r="J12" s="987"/>
      <c r="K12" s="987"/>
      <c r="L12" s="987"/>
      <c r="M12" s="987"/>
      <c r="N12" s="987"/>
      <c r="O12" s="987"/>
      <c r="P12" s="987"/>
      <c r="Q12" s="987"/>
      <c r="R12" s="988"/>
    </row>
    <row r="13" spans="1:18">
      <c r="A13" s="989"/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989"/>
      <c r="O13" s="989"/>
      <c r="P13" s="989"/>
      <c r="Q13" s="989"/>
      <c r="R13" s="989"/>
    </row>
    <row r="14" spans="1:18">
      <c r="A14" s="990" t="s">
        <v>36</v>
      </c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  <c r="N14" s="990"/>
      <c r="O14" s="990"/>
      <c r="P14" s="990"/>
      <c r="Q14" s="990"/>
      <c r="R14" s="990"/>
    </row>
    <row r="15" spans="1:18">
      <c r="A15" s="949" t="s">
        <v>395</v>
      </c>
      <c r="B15" s="950"/>
      <c r="C15" s="950"/>
      <c r="D15" s="950"/>
      <c r="E15" s="950"/>
      <c r="F15" s="950"/>
      <c r="G15" s="950"/>
      <c r="H15" s="950"/>
      <c r="I15" s="950"/>
      <c r="J15" s="950"/>
      <c r="K15" s="950"/>
      <c r="L15" s="950"/>
      <c r="M15" s="950"/>
      <c r="N15" s="950"/>
      <c r="O15" s="950"/>
      <c r="P15" s="950"/>
      <c r="Q15" s="950"/>
      <c r="R15" s="1000"/>
    </row>
    <row r="16" spans="1:18" ht="41.25" customHeight="1">
      <c r="A16" s="993" t="s">
        <v>256</v>
      </c>
      <c r="B16" s="536"/>
      <c r="C16" s="536"/>
      <c r="D16" s="536"/>
      <c r="E16" s="536"/>
      <c r="F16" s="536"/>
      <c r="G16" s="536"/>
      <c r="H16" s="536"/>
      <c r="I16" s="536"/>
      <c r="J16" s="537"/>
      <c r="K16" s="1063" t="s">
        <v>187</v>
      </c>
      <c r="L16" s="1063"/>
      <c r="M16" s="1063"/>
      <c r="N16" s="1063"/>
      <c r="O16" s="1063"/>
      <c r="P16" s="1063"/>
      <c r="Q16" s="1063"/>
      <c r="R16" s="1064"/>
    </row>
    <row r="17" spans="1:18">
      <c r="A17" s="993"/>
      <c r="B17" s="536"/>
      <c r="C17" s="536"/>
      <c r="D17" s="536"/>
      <c r="E17" s="536"/>
      <c r="F17" s="536"/>
      <c r="G17" s="536"/>
      <c r="H17" s="536"/>
      <c r="I17" s="536"/>
      <c r="J17" s="536"/>
      <c r="K17" s="536"/>
      <c r="L17" s="536"/>
      <c r="M17" s="536"/>
      <c r="N17" s="536"/>
      <c r="O17" s="536"/>
      <c r="P17" s="536"/>
      <c r="Q17" s="536"/>
      <c r="R17" s="1065"/>
    </row>
    <row r="18" spans="1:18">
      <c r="A18" s="974" t="s">
        <v>20</v>
      </c>
      <c r="B18" s="975"/>
      <c r="C18" s="1066" t="str">
        <f>'입력2(측정)'!B52</f>
        <v>급식시설</v>
      </c>
      <c r="D18" s="956"/>
      <c r="E18" s="956"/>
      <c r="F18" s="956"/>
      <c r="G18" s="1066" t="str">
        <f>'입력2(측정)'!B53</f>
        <v>보건실</v>
      </c>
      <c r="H18" s="956"/>
      <c r="I18" s="956"/>
      <c r="J18" s="956"/>
      <c r="K18" s="956"/>
      <c r="L18" s="956"/>
      <c r="M18" s="956"/>
      <c r="N18" s="956"/>
      <c r="O18" s="956"/>
      <c r="P18" s="956"/>
      <c r="Q18" s="956"/>
      <c r="R18" s="1067"/>
    </row>
    <row r="19" spans="1:18">
      <c r="A19" s="1004" t="s">
        <v>367</v>
      </c>
      <c r="B19" s="4" t="s">
        <v>21</v>
      </c>
      <c r="C19" s="1013" t="s">
        <v>162</v>
      </c>
      <c r="D19" s="1014"/>
      <c r="E19" s="1014"/>
      <c r="F19" s="1014"/>
      <c r="G19" s="1013" t="s">
        <v>171</v>
      </c>
      <c r="H19" s="1014"/>
      <c r="I19" s="1014"/>
      <c r="J19" s="1014"/>
      <c r="K19" s="1013"/>
      <c r="L19" s="1014"/>
      <c r="M19" s="1014"/>
      <c r="N19" s="1014"/>
      <c r="O19" s="1013"/>
      <c r="P19" s="1014"/>
      <c r="Q19" s="1014"/>
      <c r="R19" s="1069"/>
    </row>
    <row r="20" spans="1:18" ht="103.5" customHeight="1">
      <c r="A20" s="1068"/>
      <c r="B20" s="5" t="s">
        <v>272</v>
      </c>
      <c r="C20" s="1070">
        <f>C26</f>
        <v>0</v>
      </c>
      <c r="D20" s="1071"/>
      <c r="E20" s="1071"/>
      <c r="F20" s="1072"/>
      <c r="G20" s="1073">
        <f>C29</f>
        <v>2</v>
      </c>
      <c r="H20" s="1071"/>
      <c r="I20" s="1071"/>
      <c r="J20" s="1071"/>
      <c r="K20" s="1070"/>
      <c r="L20" s="1071"/>
      <c r="M20" s="1071"/>
      <c r="N20" s="1071"/>
      <c r="O20" s="1070"/>
      <c r="P20" s="1071"/>
      <c r="Q20" s="1071"/>
      <c r="R20" s="1074"/>
    </row>
    <row r="21" spans="1:18">
      <c r="A21" s="8"/>
      <c r="B21" s="9"/>
      <c r="C21" s="10"/>
      <c r="D21" s="10"/>
      <c r="E21" s="10"/>
      <c r="F21" s="10"/>
      <c r="G21" s="10"/>
      <c r="H21" s="10"/>
      <c r="I21" s="10"/>
      <c r="J21" s="10"/>
      <c r="K21" s="11"/>
      <c r="L21" s="11"/>
      <c r="M21" s="11"/>
      <c r="N21" s="11"/>
      <c r="O21" s="11"/>
      <c r="P21" s="11"/>
      <c r="Q21" s="11"/>
      <c r="R21" s="11"/>
    </row>
    <row r="22" spans="1:18" ht="34.5" customHeight="1">
      <c r="A22" s="1027" t="s">
        <v>55</v>
      </c>
      <c r="B22" s="1027"/>
      <c r="C22" s="1027"/>
      <c r="D22" s="1027"/>
      <c r="E22" s="1027"/>
      <c r="F22" s="1027"/>
      <c r="G22" s="1027"/>
      <c r="H22" s="1027"/>
      <c r="I22" s="1027"/>
      <c r="J22" s="1027"/>
      <c r="K22" s="1027"/>
      <c r="L22" s="1027"/>
      <c r="M22" s="1027"/>
      <c r="N22" s="1027"/>
      <c r="O22" s="1027"/>
      <c r="P22" s="1027"/>
      <c r="Q22" s="1027"/>
      <c r="R22" s="1027"/>
    </row>
    <row r="23" spans="1:18" ht="34.5" customHeight="1">
      <c r="A23" s="1075" t="s">
        <v>20</v>
      </c>
      <c r="B23" s="1075"/>
      <c r="C23" s="1076" t="s">
        <v>21</v>
      </c>
      <c r="D23" s="1077"/>
      <c r="E23" s="1077"/>
      <c r="F23" s="1077"/>
      <c r="G23" s="1077"/>
      <c r="H23" s="1077"/>
      <c r="I23" s="1077"/>
      <c r="J23" s="1077"/>
      <c r="K23" s="1077"/>
      <c r="L23" s="1077"/>
      <c r="M23" s="1077"/>
      <c r="N23" s="1077"/>
      <c r="O23" s="1077"/>
      <c r="P23" s="1077"/>
      <c r="Q23" s="1077"/>
      <c r="R23" s="1078"/>
    </row>
    <row r="24" spans="1:18" ht="34.5" customHeight="1">
      <c r="A24" s="1079" t="str">
        <f>'입력2(측정)'!B52</f>
        <v>급식시설</v>
      </c>
      <c r="B24" s="1080"/>
      <c r="C24" s="1085" t="s">
        <v>45</v>
      </c>
      <c r="D24" s="1086"/>
      <c r="E24" s="1086"/>
      <c r="F24" s="1086"/>
      <c r="G24" s="1086"/>
      <c r="H24" s="1087"/>
      <c r="I24" s="1085" t="s">
        <v>54</v>
      </c>
      <c r="J24" s="1086"/>
      <c r="K24" s="1086"/>
      <c r="L24" s="1086"/>
      <c r="M24" s="1086"/>
      <c r="N24" s="1087"/>
      <c r="O24" s="1085" t="s">
        <v>46</v>
      </c>
      <c r="P24" s="1086"/>
      <c r="Q24" s="1086"/>
      <c r="R24" s="1088"/>
    </row>
    <row r="25" spans="1:18" ht="34.5" customHeight="1">
      <c r="A25" s="1081"/>
      <c r="B25" s="1082"/>
      <c r="C25" s="1089">
        <f>'입력2(측정)'!Y52</f>
        <v>0</v>
      </c>
      <c r="D25" s="1086"/>
      <c r="E25" s="1086"/>
      <c r="F25" s="1086"/>
      <c r="G25" s="1086"/>
      <c r="H25" s="1086"/>
      <c r="I25" s="1090">
        <f>'입력2(측정)'!AE52</f>
        <v>0</v>
      </c>
      <c r="J25" s="1090"/>
      <c r="K25" s="1090"/>
      <c r="L25" s="1090"/>
      <c r="M25" s="1090"/>
      <c r="N25" s="1090"/>
      <c r="O25" s="1086">
        <f>'입력2(측정)'!AL52</f>
        <v>0</v>
      </c>
      <c r="P25" s="1086"/>
      <c r="Q25" s="1086"/>
      <c r="R25" s="1088"/>
    </row>
    <row r="26" spans="1:18" ht="34.5" customHeight="1">
      <c r="A26" s="1083"/>
      <c r="B26" s="1084"/>
      <c r="C26" s="1085">
        <f>SUM(C25+I25+O25)</f>
        <v>0</v>
      </c>
      <c r="D26" s="1086"/>
      <c r="E26" s="1086"/>
      <c r="F26" s="1086"/>
      <c r="G26" s="1086"/>
      <c r="H26" s="1086"/>
      <c r="I26" s="1086"/>
      <c r="J26" s="1086"/>
      <c r="K26" s="1086"/>
      <c r="L26" s="1086"/>
      <c r="M26" s="1086"/>
      <c r="N26" s="1086"/>
      <c r="O26" s="1086"/>
      <c r="P26" s="1086"/>
      <c r="Q26" s="1086"/>
      <c r="R26" s="1088"/>
    </row>
    <row r="27" spans="1:18" ht="34.5" customHeight="1">
      <c r="A27" s="1079" t="str">
        <f>'입력2(측정)'!B53</f>
        <v>보건실</v>
      </c>
      <c r="B27" s="1080"/>
      <c r="C27" s="1085" t="s">
        <v>135</v>
      </c>
      <c r="D27" s="1086"/>
      <c r="E27" s="1086"/>
      <c r="F27" s="1086"/>
      <c r="G27" s="1086"/>
      <c r="H27" s="1087"/>
      <c r="I27" s="1085" t="s">
        <v>155</v>
      </c>
      <c r="J27" s="1086"/>
      <c r="K27" s="1086"/>
      <c r="L27" s="1086"/>
      <c r="M27" s="1086"/>
      <c r="N27" s="1087"/>
      <c r="O27" s="1085" t="s">
        <v>61</v>
      </c>
      <c r="P27" s="1086"/>
      <c r="Q27" s="1086"/>
      <c r="R27" s="1088"/>
    </row>
    <row r="28" spans="1:18" ht="34.5" customHeight="1">
      <c r="A28" s="1081"/>
      <c r="B28" s="1082"/>
      <c r="C28" s="1085">
        <f>'입력2(측정)'!Y53</f>
        <v>0</v>
      </c>
      <c r="D28" s="1086"/>
      <c r="E28" s="1086"/>
      <c r="F28" s="1086"/>
      <c r="G28" s="1086"/>
      <c r="H28" s="1086"/>
      <c r="I28" s="1090">
        <f>'입력2(측정)'!AE53</f>
        <v>1</v>
      </c>
      <c r="J28" s="1090"/>
      <c r="K28" s="1090"/>
      <c r="L28" s="1090"/>
      <c r="M28" s="1090"/>
      <c r="N28" s="1090"/>
      <c r="O28" s="1086">
        <f>'입력2(측정)'!AL53</f>
        <v>1</v>
      </c>
      <c r="P28" s="1086"/>
      <c r="Q28" s="1086"/>
      <c r="R28" s="1088"/>
    </row>
    <row r="29" spans="1:18" ht="34.5" customHeight="1">
      <c r="A29" s="1091"/>
      <c r="B29" s="1092"/>
      <c r="C29" s="1093">
        <f>C28+I28+O28</f>
        <v>2</v>
      </c>
      <c r="D29" s="1094"/>
      <c r="E29" s="1094"/>
      <c r="F29" s="1094"/>
      <c r="G29" s="1094"/>
      <c r="H29" s="1094"/>
      <c r="I29" s="1094"/>
      <c r="J29" s="1094"/>
      <c r="K29" s="1094"/>
      <c r="L29" s="1094"/>
      <c r="M29" s="1094"/>
      <c r="N29" s="1094"/>
      <c r="O29" s="1094"/>
      <c r="P29" s="1094"/>
      <c r="Q29" s="1094"/>
      <c r="R29" s="1095"/>
    </row>
  </sheetData>
  <mergeCells count="78">
    <mergeCell ref="A27:B29"/>
    <mergeCell ref="C27:H27"/>
    <mergeCell ref="I27:N27"/>
    <mergeCell ref="O27:R27"/>
    <mergeCell ref="C28:H28"/>
    <mergeCell ref="I28:N28"/>
    <mergeCell ref="O28:R28"/>
    <mergeCell ref="C29:R29"/>
    <mergeCell ref="A22:R22"/>
    <mergeCell ref="A23:B23"/>
    <mergeCell ref="C23:R23"/>
    <mergeCell ref="A24:B26"/>
    <mergeCell ref="C24:H24"/>
    <mergeCell ref="I24:N24"/>
    <mergeCell ref="O24:R24"/>
    <mergeCell ref="C25:H25"/>
    <mergeCell ref="I25:N25"/>
    <mergeCell ref="O25:R25"/>
    <mergeCell ref="C26:R26"/>
    <mergeCell ref="A19:A20"/>
    <mergeCell ref="C19:F19"/>
    <mergeCell ref="G19:J19"/>
    <mergeCell ref="K19:N19"/>
    <mergeCell ref="O19:R19"/>
    <mergeCell ref="C20:F20"/>
    <mergeCell ref="G20:J20"/>
    <mergeCell ref="K20:N20"/>
    <mergeCell ref="O20:R20"/>
    <mergeCell ref="A17:R17"/>
    <mergeCell ref="A18:B18"/>
    <mergeCell ref="C18:F18"/>
    <mergeCell ref="G18:J18"/>
    <mergeCell ref="K18:N18"/>
    <mergeCell ref="O18:R18"/>
    <mergeCell ref="A12:R12"/>
    <mergeCell ref="A13:R13"/>
    <mergeCell ref="A14:R14"/>
    <mergeCell ref="A15:R15"/>
    <mergeCell ref="A16:J16"/>
    <mergeCell ref="K16:R16"/>
    <mergeCell ref="A10:B10"/>
    <mergeCell ref="C10:F10"/>
    <mergeCell ref="G10:J10"/>
    <mergeCell ref="K10:N10"/>
    <mergeCell ref="O10:R10"/>
    <mergeCell ref="A9:B9"/>
    <mergeCell ref="C9:F9"/>
    <mergeCell ref="G9:J9"/>
    <mergeCell ref="K9:N9"/>
    <mergeCell ref="O9:R9"/>
    <mergeCell ref="A8:B8"/>
    <mergeCell ref="C8:F8"/>
    <mergeCell ref="G8:J8"/>
    <mergeCell ref="K8:N8"/>
    <mergeCell ref="O8:R8"/>
    <mergeCell ref="A5:B5"/>
    <mergeCell ref="C5:H5"/>
    <mergeCell ref="I5:L5"/>
    <mergeCell ref="M5:R5"/>
    <mergeCell ref="A6:B7"/>
    <mergeCell ref="C6:F7"/>
    <mergeCell ref="G6:J7"/>
    <mergeCell ref="K6:N7"/>
    <mergeCell ref="O6:R7"/>
    <mergeCell ref="A3:B3"/>
    <mergeCell ref="C3:H3"/>
    <mergeCell ref="I3:L3"/>
    <mergeCell ref="M3:R3"/>
    <mergeCell ref="A4:B4"/>
    <mergeCell ref="C4:H4"/>
    <mergeCell ref="I4:L4"/>
    <mergeCell ref="M4:R4"/>
    <mergeCell ref="A1:N1"/>
    <mergeCell ref="O1:P1"/>
    <mergeCell ref="Q1:R1"/>
    <mergeCell ref="A2:C2"/>
    <mergeCell ref="O2:P2"/>
    <mergeCell ref="Q2:R2"/>
  </mergeCells>
  <phoneticPr fontId="37" type="noConversion"/>
  <pageMargins left="0.74805557727813721" right="0.74805557727813721" top="0.98430556058883667" bottom="0.98430556058883667" header="0.51138889789581299" footer="0.51138889789581299"/>
  <pageSetup paperSize="9" scale="69" fitToWidth="0" fitToHeight="0" orientation="portrait" r:id="rId1"/>
  <rowBreaks count="1" manualBreakCount="1">
    <brk id="30" max="1048575" man="1"/>
  </rowBreaks>
  <colBreaks count="1" manualBreakCount="1">
    <brk id="18" max="16383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Z42"/>
  <sheetViews>
    <sheetView view="pageBreakPreview" zoomScaleNormal="100" zoomScaleSheetLayoutView="100" workbookViewId="0">
      <selection activeCell="K16" sqref="K16:Z16"/>
    </sheetView>
  </sheetViews>
  <sheetFormatPr defaultColWidth="9" defaultRowHeight="16.5"/>
  <cols>
    <col min="1" max="1" width="9" bestFit="1" customWidth="1"/>
    <col min="2" max="2" width="11.875" customWidth="1"/>
    <col min="3" max="18" width="3.375" customWidth="1"/>
    <col min="19" max="19" width="4.375" customWidth="1"/>
    <col min="20" max="22" width="3.375" customWidth="1"/>
    <col min="23" max="26" width="5" customWidth="1"/>
  </cols>
  <sheetData>
    <row r="1" spans="1:26" ht="35.25" customHeight="1">
      <c r="A1" s="941" t="s">
        <v>392</v>
      </c>
      <c r="B1" s="941"/>
      <c r="C1" s="941"/>
      <c r="D1" s="941"/>
      <c r="E1" s="941"/>
      <c r="F1" s="941"/>
      <c r="G1" s="941"/>
      <c r="H1" s="941"/>
      <c r="I1" s="941"/>
      <c r="J1" s="941"/>
      <c r="K1" s="941"/>
      <c r="L1" s="941"/>
      <c r="M1" s="941"/>
      <c r="N1" s="941"/>
      <c r="O1" s="941"/>
      <c r="P1" s="941"/>
      <c r="Q1" s="941"/>
      <c r="R1" s="941"/>
      <c r="S1" s="941"/>
      <c r="T1" s="941"/>
      <c r="U1" s="941"/>
      <c r="V1" s="1055"/>
      <c r="W1" s="943" t="s">
        <v>12</v>
      </c>
      <c r="X1" s="944"/>
      <c r="Y1" s="943" t="s">
        <v>26</v>
      </c>
      <c r="Z1" s="944"/>
    </row>
    <row r="2" spans="1:26" ht="27" customHeight="1">
      <c r="A2" s="945" t="s">
        <v>296</v>
      </c>
      <c r="B2" s="945"/>
      <c r="C2" s="94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46"/>
      <c r="P2" s="946"/>
      <c r="Q2" s="946"/>
      <c r="R2" s="946"/>
      <c r="W2" s="947"/>
      <c r="X2" s="948"/>
      <c r="Y2" s="947"/>
      <c r="Z2" s="948"/>
    </row>
    <row r="3" spans="1:26" ht="16.7" customHeight="1">
      <c r="A3" s="949" t="s">
        <v>29</v>
      </c>
      <c r="B3" s="950"/>
      <c r="C3" s="951" t="str">
        <f>'입력1(학교시설명 등 기본사항 입력) 보고서1,2'!C2</f>
        <v>평촌경영고등학교</v>
      </c>
      <c r="D3" s="951"/>
      <c r="E3" s="951"/>
      <c r="F3" s="951"/>
      <c r="G3" s="951"/>
      <c r="H3" s="951"/>
      <c r="I3" s="950" t="s">
        <v>28</v>
      </c>
      <c r="J3" s="950"/>
      <c r="K3" s="950"/>
      <c r="L3" s="950"/>
      <c r="M3" s="952" t="str">
        <f>'입력1(학교시설명 등 기본사항 입력) 보고서1,2'!C2</f>
        <v>평촌경영고등학교</v>
      </c>
      <c r="N3" s="953"/>
      <c r="O3" s="953"/>
      <c r="P3" s="953"/>
      <c r="Q3" s="953"/>
      <c r="R3" s="953"/>
      <c r="S3" s="953"/>
      <c r="T3" s="953"/>
      <c r="U3" s="953"/>
      <c r="V3" s="953"/>
      <c r="W3" s="953"/>
      <c r="X3" s="953"/>
      <c r="Y3" s="953"/>
      <c r="Z3" s="954"/>
    </row>
    <row r="4" spans="1:26">
      <c r="A4" s="955" t="s">
        <v>23</v>
      </c>
      <c r="B4" s="956"/>
      <c r="C4" s="957" t="str">
        <f>'입력1(학교시설명 등 기본사항 입력) 보고서1,2'!C13</f>
        <v>2026.06.10</v>
      </c>
      <c r="D4" s="957"/>
      <c r="E4" s="957"/>
      <c r="F4" s="957"/>
      <c r="G4" s="957"/>
      <c r="H4" s="957"/>
      <c r="I4" s="956" t="s">
        <v>25</v>
      </c>
      <c r="J4" s="956"/>
      <c r="K4" s="956"/>
      <c r="L4" s="956"/>
      <c r="M4" s="958" t="s">
        <v>485</v>
      </c>
      <c r="N4" s="959"/>
      <c r="O4" s="959"/>
      <c r="P4" s="959"/>
      <c r="Q4" s="959"/>
      <c r="R4" s="959"/>
      <c r="S4" s="959"/>
      <c r="T4" s="959"/>
      <c r="U4" s="959"/>
      <c r="V4" s="959"/>
      <c r="W4" s="959"/>
      <c r="X4" s="959"/>
      <c r="Y4" s="959"/>
      <c r="Z4" s="960"/>
    </row>
    <row r="5" spans="1:26">
      <c r="A5" s="955" t="s">
        <v>15</v>
      </c>
      <c r="B5" s="956"/>
      <c r="C5" s="931" t="str">
        <f>'입력1(학교시설명 등 기본사항 입력) 보고서1,2'!I15</f>
        <v>박정식</v>
      </c>
      <c r="D5" s="931"/>
      <c r="E5" s="931"/>
      <c r="F5" s="931"/>
      <c r="G5" s="931"/>
      <c r="H5" s="931"/>
      <c r="I5" s="956" t="s">
        <v>22</v>
      </c>
      <c r="J5" s="956"/>
      <c r="K5" s="956"/>
      <c r="L5" s="956"/>
      <c r="M5" s="961" t="str">
        <f>'입력2(측정)'!B1</f>
        <v>유재혁</v>
      </c>
      <c r="N5" s="962"/>
      <c r="O5" s="962"/>
      <c r="P5" s="962"/>
      <c r="Q5" s="962"/>
      <c r="R5" s="962"/>
      <c r="S5" s="962"/>
      <c r="T5" s="962"/>
      <c r="U5" s="962"/>
      <c r="V5" s="962"/>
      <c r="W5" s="962"/>
      <c r="X5" s="962"/>
      <c r="Y5" s="962"/>
      <c r="Z5" s="963"/>
    </row>
    <row r="6" spans="1:26" ht="13.5" customHeight="1">
      <c r="A6" s="964" t="s">
        <v>20</v>
      </c>
      <c r="B6" s="965"/>
      <c r="C6" s="968">
        <f>'입력2(측정)'!B57</f>
        <v>0</v>
      </c>
      <c r="D6" s="969"/>
      <c r="E6" s="969"/>
      <c r="F6" s="970"/>
      <c r="G6" s="968">
        <f>'입력2(측정)'!B58</f>
        <v>0</v>
      </c>
      <c r="H6" s="969"/>
      <c r="I6" s="969"/>
      <c r="J6" s="970"/>
      <c r="K6" s="968">
        <f>'입력2(측정)'!B59</f>
        <v>0</v>
      </c>
      <c r="L6" s="969"/>
      <c r="M6" s="969"/>
      <c r="N6" s="970"/>
      <c r="O6" s="968">
        <f>'입력2(측정)'!B60</f>
        <v>0</v>
      </c>
      <c r="P6" s="969"/>
      <c r="Q6" s="969"/>
      <c r="R6" s="970"/>
      <c r="S6" s="968">
        <f>'입력2(측정)'!B61</f>
        <v>0</v>
      </c>
      <c r="T6" s="969"/>
      <c r="U6" s="969"/>
      <c r="V6" s="970"/>
      <c r="W6" s="968">
        <f>'입력2(측정)'!B62</f>
        <v>0</v>
      </c>
      <c r="X6" s="969"/>
      <c r="Y6" s="969"/>
      <c r="Z6" s="970"/>
    </row>
    <row r="7" spans="1:26" ht="9.75" customHeight="1">
      <c r="A7" s="966"/>
      <c r="B7" s="967"/>
      <c r="C7" s="971"/>
      <c r="D7" s="972"/>
      <c r="E7" s="972"/>
      <c r="F7" s="973"/>
      <c r="G7" s="971"/>
      <c r="H7" s="972"/>
      <c r="I7" s="972"/>
      <c r="J7" s="973"/>
      <c r="K7" s="971"/>
      <c r="L7" s="972"/>
      <c r="M7" s="972"/>
      <c r="N7" s="973"/>
      <c r="O7" s="971"/>
      <c r="P7" s="972"/>
      <c r="Q7" s="972"/>
      <c r="R7" s="973"/>
      <c r="S7" s="971"/>
      <c r="T7" s="972"/>
      <c r="U7" s="972"/>
      <c r="V7" s="973"/>
      <c r="W7" s="971"/>
      <c r="X7" s="972"/>
      <c r="Y7" s="972"/>
      <c r="Z7" s="973"/>
    </row>
    <row r="8" spans="1:26">
      <c r="A8" s="974" t="s">
        <v>39</v>
      </c>
      <c r="B8" s="975"/>
      <c r="C8" s="976">
        <f>'입력2(측정)'!H57</f>
        <v>0</v>
      </c>
      <c r="D8" s="976"/>
      <c r="E8" s="976"/>
      <c r="F8" s="976"/>
      <c r="G8" s="976">
        <f>'입력2(측정)'!T6</f>
        <v>25.099999999999998</v>
      </c>
      <c r="H8" s="976"/>
      <c r="I8" s="976"/>
      <c r="J8" s="976"/>
      <c r="K8" s="976">
        <f>'입력2(측정)'!T7</f>
        <v>25.733333333333334</v>
      </c>
      <c r="L8" s="976"/>
      <c r="M8" s="976"/>
      <c r="N8" s="976"/>
      <c r="O8" s="976" t="e">
        <f>'입력2(측정)'!T8</f>
        <v>#DIV/0!</v>
      </c>
      <c r="P8" s="976"/>
      <c r="Q8" s="976"/>
      <c r="R8" s="976"/>
      <c r="S8" s="976">
        <f>'입력2(측정)'!T9</f>
        <v>26.6</v>
      </c>
      <c r="T8" s="976"/>
      <c r="U8" s="976"/>
      <c r="V8" s="976"/>
      <c r="W8" s="976">
        <f>'입력2(측정)'!T10</f>
        <v>25.4</v>
      </c>
      <c r="X8" s="976"/>
      <c r="Y8" s="976"/>
      <c r="Z8" s="976"/>
    </row>
    <row r="9" spans="1:26" hidden="1">
      <c r="A9" s="974" t="s">
        <v>38</v>
      </c>
      <c r="B9" s="975"/>
      <c r="C9" s="976">
        <f>'입력2(측정)'!J57</f>
        <v>0</v>
      </c>
      <c r="D9" s="976"/>
      <c r="E9" s="976"/>
      <c r="F9" s="976"/>
      <c r="G9" s="977">
        <f>'입력2(측정)'!J58</f>
        <v>0</v>
      </c>
      <c r="H9" s="977"/>
      <c r="I9" s="977"/>
      <c r="J9" s="977"/>
      <c r="K9" s="978">
        <f>'입력2(측정)'!J59</f>
        <v>0</v>
      </c>
      <c r="L9" s="978"/>
      <c r="M9" s="978"/>
      <c r="N9" s="978"/>
      <c r="O9" s="978">
        <f>'입력2(측정)'!J60</f>
        <v>0</v>
      </c>
      <c r="P9" s="978"/>
      <c r="Q9" s="978"/>
      <c r="R9" s="978"/>
      <c r="S9" s="978">
        <f>'입력2(측정)'!J61</f>
        <v>0</v>
      </c>
      <c r="T9" s="978"/>
      <c r="U9" s="978"/>
      <c r="V9" s="978"/>
      <c r="W9" s="978">
        <f>'입력2(측정)'!J62</f>
        <v>0</v>
      </c>
      <c r="X9" s="978"/>
      <c r="Y9" s="978"/>
      <c r="Z9" s="979"/>
    </row>
    <row r="10" spans="1:26">
      <c r="A10" s="980" t="s">
        <v>396</v>
      </c>
      <c r="B10" s="981"/>
      <c r="C10" s="982">
        <f>'입력2(측정)'!L57</f>
        <v>0</v>
      </c>
      <c r="D10" s="982"/>
      <c r="E10" s="982"/>
      <c r="F10" s="982"/>
      <c r="G10" s="983">
        <f>'입력2(측정)'!L58</f>
        <v>0</v>
      </c>
      <c r="H10" s="983"/>
      <c r="I10" s="983"/>
      <c r="J10" s="983"/>
      <c r="K10" s="984">
        <f>'입력2(측정)'!L59</f>
        <v>0</v>
      </c>
      <c r="L10" s="984"/>
      <c r="M10" s="984"/>
      <c r="N10" s="984"/>
      <c r="O10" s="984">
        <f>'입력2(측정)'!L60</f>
        <v>0</v>
      </c>
      <c r="P10" s="984"/>
      <c r="Q10" s="984"/>
      <c r="R10" s="984"/>
      <c r="S10" s="984">
        <f>'입력2(측정)'!L61</f>
        <v>0</v>
      </c>
      <c r="T10" s="984"/>
      <c r="U10" s="984"/>
      <c r="V10" s="984"/>
      <c r="W10" s="984">
        <f>'입력2(측정)'!L62</f>
        <v>0</v>
      </c>
      <c r="X10" s="984"/>
      <c r="Y10" s="984"/>
      <c r="Z10" s="985"/>
    </row>
    <row r="11" spans="1:26">
      <c r="A11" s="9"/>
      <c r="B11" s="9"/>
      <c r="C11" s="136"/>
      <c r="D11" s="136"/>
      <c r="E11" s="136"/>
      <c r="F11" s="136"/>
      <c r="G11" s="137"/>
      <c r="H11" s="137"/>
      <c r="I11" s="137"/>
      <c r="J11" s="137"/>
      <c r="K11" s="138"/>
      <c r="L11" s="138"/>
      <c r="M11" s="138"/>
      <c r="N11" s="138"/>
      <c r="O11" s="138"/>
      <c r="P11" s="138"/>
      <c r="Q11" s="138"/>
      <c r="R11" s="138"/>
    </row>
    <row r="12" spans="1:26" ht="60" customHeight="1">
      <c r="A12" s="986" t="s">
        <v>2</v>
      </c>
      <c r="B12" s="987"/>
      <c r="C12" s="987"/>
      <c r="D12" s="987"/>
      <c r="E12" s="987"/>
      <c r="F12" s="987"/>
      <c r="G12" s="987"/>
      <c r="H12" s="987"/>
      <c r="I12" s="987"/>
      <c r="J12" s="987"/>
      <c r="K12" s="987"/>
      <c r="L12" s="987"/>
      <c r="M12" s="987"/>
      <c r="N12" s="987"/>
      <c r="O12" s="987"/>
      <c r="P12" s="987"/>
      <c r="Q12" s="987"/>
      <c r="R12" s="987"/>
      <c r="S12" s="987"/>
      <c r="T12" s="987"/>
      <c r="U12" s="987"/>
      <c r="V12" s="987"/>
      <c r="W12" s="987"/>
      <c r="X12" s="987"/>
      <c r="Y12" s="987"/>
      <c r="Z12" s="988"/>
    </row>
    <row r="13" spans="1:26">
      <c r="A13" s="989"/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989"/>
      <c r="O13" s="989"/>
      <c r="P13" s="989"/>
      <c r="Q13" s="989"/>
      <c r="R13" s="989"/>
    </row>
    <row r="14" spans="1:26">
      <c r="A14" s="990" t="s">
        <v>36</v>
      </c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  <c r="N14" s="990"/>
      <c r="O14" s="990"/>
      <c r="P14" s="990"/>
      <c r="Q14" s="990"/>
      <c r="R14" s="990"/>
    </row>
    <row r="15" spans="1:26">
      <c r="A15" s="949" t="s">
        <v>395</v>
      </c>
      <c r="B15" s="950"/>
      <c r="C15" s="950"/>
      <c r="D15" s="950"/>
      <c r="E15" s="950"/>
      <c r="F15" s="950"/>
      <c r="G15" s="950"/>
      <c r="H15" s="950"/>
      <c r="I15" s="950"/>
      <c r="J15" s="950"/>
      <c r="K15" s="950"/>
      <c r="L15" s="950"/>
      <c r="M15" s="950"/>
      <c r="N15" s="950"/>
      <c r="O15" s="950"/>
      <c r="P15" s="950"/>
      <c r="Q15" s="950"/>
      <c r="R15" s="950"/>
      <c r="S15" s="950"/>
      <c r="T15" s="950"/>
      <c r="U15" s="950"/>
      <c r="V15" s="950"/>
      <c r="W15" s="950"/>
      <c r="X15" s="950"/>
      <c r="Y15" s="950"/>
      <c r="Z15" s="1000"/>
    </row>
    <row r="16" spans="1:26" ht="73.5" customHeight="1">
      <c r="A16" s="1096"/>
      <c r="B16" s="540"/>
      <c r="C16" s="540"/>
      <c r="D16" s="540"/>
      <c r="E16" s="540"/>
      <c r="F16" s="540"/>
      <c r="G16" s="540"/>
      <c r="H16" s="540"/>
      <c r="I16" s="540"/>
      <c r="J16" s="540"/>
      <c r="K16" s="1097" t="s">
        <v>324</v>
      </c>
      <c r="L16" s="1097"/>
      <c r="M16" s="1097"/>
      <c r="N16" s="1097"/>
      <c r="O16" s="1097"/>
      <c r="P16" s="1097"/>
      <c r="Q16" s="1097"/>
      <c r="R16" s="1097"/>
      <c r="S16" s="1097"/>
      <c r="T16" s="1097"/>
      <c r="U16" s="1097"/>
      <c r="V16" s="1097"/>
      <c r="W16" s="1097"/>
      <c r="X16" s="1097"/>
      <c r="Y16" s="1097"/>
      <c r="Z16" s="1098"/>
    </row>
    <row r="17" spans="1:26" ht="18" customHeight="1">
      <c r="A17" s="955" t="s">
        <v>440</v>
      </c>
      <c r="B17" s="956"/>
      <c r="C17" s="956"/>
      <c r="D17" s="956"/>
      <c r="E17" s="956"/>
      <c r="F17" s="956"/>
      <c r="G17" s="956"/>
      <c r="H17" s="956"/>
      <c r="I17" s="956"/>
      <c r="J17" s="956"/>
      <c r="K17" s="956"/>
      <c r="L17" s="956"/>
      <c r="M17" s="956"/>
      <c r="N17" s="956"/>
      <c r="O17" s="956"/>
      <c r="P17" s="956"/>
      <c r="Q17" s="956"/>
      <c r="R17" s="956"/>
      <c r="S17" s="956"/>
      <c r="T17" s="956"/>
      <c r="U17" s="956"/>
      <c r="V17" s="956"/>
      <c r="W17" s="956"/>
      <c r="X17" s="956"/>
      <c r="Y17" s="956"/>
      <c r="Z17" s="1067"/>
    </row>
    <row r="18" spans="1:26" ht="97.5" customHeight="1">
      <c r="A18" s="1096"/>
      <c r="B18" s="540"/>
      <c r="C18" s="540"/>
      <c r="D18" s="540"/>
      <c r="E18" s="540"/>
      <c r="F18" s="540"/>
      <c r="G18" s="540"/>
      <c r="H18" s="540"/>
      <c r="I18" s="540"/>
      <c r="J18" s="540"/>
      <c r="K18" s="1097" t="s">
        <v>323</v>
      </c>
      <c r="L18" s="1097"/>
      <c r="M18" s="1097"/>
      <c r="N18" s="1097"/>
      <c r="O18" s="1097"/>
      <c r="P18" s="1097"/>
      <c r="Q18" s="1097"/>
      <c r="R18" s="1097"/>
      <c r="S18" s="1097"/>
      <c r="T18" s="1097"/>
      <c r="U18" s="1097"/>
      <c r="V18" s="1097"/>
      <c r="W18" s="1097"/>
      <c r="X18" s="1097"/>
      <c r="Y18" s="1097"/>
      <c r="Z18" s="1098"/>
    </row>
    <row r="19" spans="1:26">
      <c r="A19" s="974" t="s">
        <v>20</v>
      </c>
      <c r="B19" s="975"/>
      <c r="C19" s="1066">
        <f>C6</f>
        <v>0</v>
      </c>
      <c r="D19" s="956"/>
      <c r="E19" s="956"/>
      <c r="F19" s="956"/>
      <c r="G19" s="1066">
        <f>G6</f>
        <v>0</v>
      </c>
      <c r="H19" s="956"/>
      <c r="I19" s="956"/>
      <c r="J19" s="956"/>
      <c r="K19" s="1066">
        <f>K6</f>
        <v>0</v>
      </c>
      <c r="L19" s="956"/>
      <c r="M19" s="956"/>
      <c r="N19" s="956"/>
      <c r="O19" s="1066">
        <f>O6</f>
        <v>0</v>
      </c>
      <c r="P19" s="956"/>
      <c r="Q19" s="956"/>
      <c r="R19" s="956"/>
      <c r="S19" s="1066">
        <f>S6</f>
        <v>0</v>
      </c>
      <c r="T19" s="956"/>
      <c r="U19" s="956"/>
      <c r="V19" s="956"/>
      <c r="W19" s="1066">
        <f>W6</f>
        <v>0</v>
      </c>
      <c r="X19" s="956"/>
      <c r="Y19" s="956"/>
      <c r="Z19" s="1067"/>
    </row>
    <row r="20" spans="1:26" ht="21" customHeight="1">
      <c r="A20" s="1099" t="s">
        <v>483</v>
      </c>
      <c r="B20" s="297" t="s">
        <v>21</v>
      </c>
      <c r="C20" s="1101" t="s">
        <v>180</v>
      </c>
      <c r="D20" s="1101"/>
      <c r="E20" s="1101"/>
      <c r="F20" s="1101"/>
      <c r="G20" s="1101" t="s">
        <v>180</v>
      </c>
      <c r="H20" s="1101"/>
      <c r="I20" s="1101"/>
      <c r="J20" s="1101"/>
      <c r="K20" s="1101" t="s">
        <v>180</v>
      </c>
      <c r="L20" s="1101"/>
      <c r="M20" s="1101"/>
      <c r="N20" s="1101"/>
      <c r="O20" s="1101" t="s">
        <v>180</v>
      </c>
      <c r="P20" s="1101"/>
      <c r="Q20" s="1101"/>
      <c r="R20" s="1101"/>
      <c r="S20" s="1101" t="s">
        <v>180</v>
      </c>
      <c r="T20" s="1101"/>
      <c r="U20" s="1101"/>
      <c r="V20" s="1101"/>
      <c r="W20" s="1101" t="s">
        <v>180</v>
      </c>
      <c r="X20" s="1101"/>
      <c r="Y20" s="1101"/>
      <c r="Z20" s="1102"/>
    </row>
    <row r="21" spans="1:26" ht="21" customHeight="1">
      <c r="A21" s="1099"/>
      <c r="B21" s="292" t="s">
        <v>189</v>
      </c>
      <c r="C21" s="1103" t="e">
        <f>C22*(C23-C24)/(C25*C26*C27)*1/1000</f>
        <v>#DIV/0!</v>
      </c>
      <c r="D21" s="1103"/>
      <c r="E21" s="1103"/>
      <c r="F21" s="1103"/>
      <c r="G21" s="1103" t="e">
        <f>G22*(G23-G24)/(G25*G26*G27)*1/1000</f>
        <v>#DIV/0!</v>
      </c>
      <c r="H21" s="1103"/>
      <c r="I21" s="1103"/>
      <c r="J21" s="1103"/>
      <c r="K21" s="1103" t="e">
        <f>K22*(K23-K24)/(K25*K26*K27)*1/1000</f>
        <v>#DIV/0!</v>
      </c>
      <c r="L21" s="1103"/>
      <c r="M21" s="1103"/>
      <c r="N21" s="1103"/>
      <c r="O21" s="1103" t="e">
        <f>O22*(O23-O24)/(O25*O26*O27)*1/1000</f>
        <v>#DIV/0!</v>
      </c>
      <c r="P21" s="1103"/>
      <c r="Q21" s="1103"/>
      <c r="R21" s="1103"/>
      <c r="S21" s="1103" t="e">
        <f>S22*(S23-S24)/(S25*S26*S27)*1/1000</f>
        <v>#DIV/0!</v>
      </c>
      <c r="T21" s="1103"/>
      <c r="U21" s="1103"/>
      <c r="V21" s="1103"/>
      <c r="W21" s="1103" t="e">
        <f>W22*(W23-W24)/(W25*W26*W27)*1/1000</f>
        <v>#DIV/0!</v>
      </c>
      <c r="X21" s="1103"/>
      <c r="Y21" s="1103"/>
      <c r="Z21" s="1103"/>
    </row>
    <row r="22" spans="1:26" ht="21" customHeight="1">
      <c r="A22" s="1099"/>
      <c r="B22" s="292" t="s">
        <v>287</v>
      </c>
      <c r="C22" s="1104">
        <v>385</v>
      </c>
      <c r="D22" s="1104"/>
      <c r="E22" s="1104"/>
      <c r="F22" s="1104"/>
      <c r="G22" s="1104">
        <v>385</v>
      </c>
      <c r="H22" s="1104"/>
      <c r="I22" s="1104"/>
      <c r="J22" s="1104"/>
      <c r="K22" s="1104">
        <v>385</v>
      </c>
      <c r="L22" s="1104"/>
      <c r="M22" s="1104"/>
      <c r="N22" s="1104"/>
      <c r="O22" s="1104">
        <v>385</v>
      </c>
      <c r="P22" s="1104"/>
      <c r="Q22" s="1104"/>
      <c r="R22" s="1104"/>
      <c r="S22" s="1104">
        <v>385</v>
      </c>
      <c r="T22" s="1104"/>
      <c r="U22" s="1104"/>
      <c r="V22" s="1104"/>
      <c r="W22" s="1104">
        <v>385</v>
      </c>
      <c r="X22" s="1104"/>
      <c r="Y22" s="1104"/>
      <c r="Z22" s="1104"/>
    </row>
    <row r="23" spans="1:26" ht="21" customHeight="1">
      <c r="A23" s="1099"/>
      <c r="B23" s="292" t="s">
        <v>242</v>
      </c>
      <c r="C23" s="1101">
        <v>24</v>
      </c>
      <c r="D23" s="1101"/>
      <c r="E23" s="1101"/>
      <c r="F23" s="1101"/>
      <c r="G23" s="1101">
        <v>18.5</v>
      </c>
      <c r="H23" s="1101"/>
      <c r="I23" s="1101"/>
      <c r="J23" s="1101"/>
      <c r="K23" s="1101">
        <v>12</v>
      </c>
      <c r="L23" s="1101"/>
      <c r="M23" s="1101"/>
      <c r="N23" s="1101"/>
      <c r="O23" s="1101">
        <v>13</v>
      </c>
      <c r="P23" s="1101"/>
      <c r="Q23" s="1101"/>
      <c r="R23" s="1101"/>
      <c r="S23" s="1101">
        <v>17</v>
      </c>
      <c r="T23" s="1101"/>
      <c r="U23" s="1101"/>
      <c r="V23" s="1101"/>
      <c r="W23" s="1101">
        <v>19</v>
      </c>
      <c r="X23" s="1101"/>
      <c r="Y23" s="1101"/>
      <c r="Z23" s="1101"/>
    </row>
    <row r="24" spans="1:26" ht="21" customHeight="1">
      <c r="A24" s="1099"/>
      <c r="B24" s="292" t="s">
        <v>267</v>
      </c>
      <c r="C24" s="1101">
        <v>0</v>
      </c>
      <c r="D24" s="1101"/>
      <c r="E24" s="1101"/>
      <c r="F24" s="1101"/>
      <c r="G24" s="1101" t="e">
        <f>G25/G26</f>
        <v>#DIV/0!</v>
      </c>
      <c r="H24" s="1101"/>
      <c r="I24" s="1101"/>
      <c r="J24" s="1101"/>
      <c r="K24" s="1101" t="e">
        <f>K25/K26</f>
        <v>#DIV/0!</v>
      </c>
      <c r="L24" s="1101"/>
      <c r="M24" s="1101"/>
      <c r="N24" s="1101"/>
      <c r="O24" s="1101" t="e">
        <f>O25/O26</f>
        <v>#DIV/0!</v>
      </c>
      <c r="P24" s="1101"/>
      <c r="Q24" s="1101"/>
      <c r="R24" s="1101"/>
      <c r="S24" s="1101" t="e">
        <f>S25/S26</f>
        <v>#DIV/0!</v>
      </c>
      <c r="T24" s="1101"/>
      <c r="U24" s="1101"/>
      <c r="V24" s="1101"/>
      <c r="W24" s="1101" t="e">
        <f>W25/W26</f>
        <v>#DIV/0!</v>
      </c>
      <c r="X24" s="1101"/>
      <c r="Y24" s="1101"/>
      <c r="Z24" s="1101"/>
    </row>
    <row r="25" spans="1:26" ht="21" customHeight="1">
      <c r="A25" s="1099"/>
      <c r="B25" s="292" t="s">
        <v>270</v>
      </c>
      <c r="C25" s="1105">
        <v>7.8499999999999993E-3</v>
      </c>
      <c r="D25" s="1105"/>
      <c r="E25" s="1105"/>
      <c r="F25" s="1105"/>
      <c r="G25" s="1105">
        <v>7.8499999999999993E-3</v>
      </c>
      <c r="H25" s="1105"/>
      <c r="I25" s="1105"/>
      <c r="J25" s="1105"/>
      <c r="K25" s="1105">
        <v>7.8499999999999993E-3</v>
      </c>
      <c r="L25" s="1105"/>
      <c r="M25" s="1105"/>
      <c r="N25" s="1105"/>
      <c r="O25" s="1105">
        <v>7.8499999999999993E-3</v>
      </c>
      <c r="P25" s="1105"/>
      <c r="Q25" s="1105"/>
      <c r="R25" s="1105"/>
      <c r="S25" s="1105">
        <v>7.8499999999999993E-3</v>
      </c>
      <c r="T25" s="1105"/>
      <c r="U25" s="1105"/>
      <c r="V25" s="1105"/>
      <c r="W25" s="1105">
        <v>7.8499999999999993E-3</v>
      </c>
      <c r="X25" s="1105"/>
      <c r="Y25" s="1105"/>
      <c r="Z25" s="1105"/>
    </row>
    <row r="26" spans="1:26" ht="21" customHeight="1">
      <c r="A26" s="1099"/>
      <c r="B26" s="298" t="s">
        <v>329</v>
      </c>
      <c r="C26" s="1101">
        <f>'포집유량 보정'!N15</f>
        <v>0</v>
      </c>
      <c r="D26" s="1101"/>
      <c r="E26" s="1101"/>
      <c r="F26" s="1101"/>
      <c r="G26" s="1101">
        <f>'포집유량 보정'!N16</f>
        <v>0</v>
      </c>
      <c r="H26" s="1101"/>
      <c r="I26" s="1101"/>
      <c r="J26" s="1101"/>
      <c r="K26" s="1101">
        <f>'포집유량 보정'!N17</f>
        <v>0</v>
      </c>
      <c r="L26" s="1101"/>
      <c r="M26" s="1101"/>
      <c r="N26" s="1101"/>
      <c r="O26" s="1101">
        <f>'포집유량 보정'!N18</f>
        <v>0</v>
      </c>
      <c r="P26" s="1101"/>
      <c r="Q26" s="1101"/>
      <c r="R26" s="1101"/>
      <c r="S26" s="1101">
        <f>'포집유량 보정'!N19</f>
        <v>0</v>
      </c>
      <c r="T26" s="1101"/>
      <c r="U26" s="1101"/>
      <c r="V26" s="1101"/>
      <c r="W26" s="1101">
        <f>'포집유량 보정'!N20</f>
        <v>0</v>
      </c>
      <c r="X26" s="1101"/>
      <c r="Y26" s="1101"/>
      <c r="Z26" s="1102"/>
    </row>
    <row r="27" spans="1:26" ht="21" customHeight="1">
      <c r="A27" s="1100"/>
      <c r="B27" s="293" t="s">
        <v>229</v>
      </c>
      <c r="C27" s="1106">
        <v>100</v>
      </c>
      <c r="D27" s="1106"/>
      <c r="E27" s="1106"/>
      <c r="F27" s="1106"/>
      <c r="G27" s="1106">
        <v>100</v>
      </c>
      <c r="H27" s="1106"/>
      <c r="I27" s="1106"/>
      <c r="J27" s="1106"/>
      <c r="K27" s="1106">
        <v>100</v>
      </c>
      <c r="L27" s="1106"/>
      <c r="M27" s="1106"/>
      <c r="N27" s="1106"/>
      <c r="O27" s="1106">
        <v>100</v>
      </c>
      <c r="P27" s="1106"/>
      <c r="Q27" s="1106"/>
      <c r="R27" s="1106"/>
      <c r="S27" s="1106">
        <v>100</v>
      </c>
      <c r="T27" s="1106"/>
      <c r="U27" s="1106"/>
      <c r="V27" s="1106"/>
      <c r="W27" s="1106">
        <v>100</v>
      </c>
      <c r="X27" s="1106"/>
      <c r="Y27" s="1106"/>
      <c r="Z27" s="1107"/>
    </row>
    <row r="28" spans="1:26">
      <c r="A28" s="8"/>
      <c r="B28" s="9"/>
      <c r="C28" s="10"/>
      <c r="D28" s="10"/>
      <c r="E28" s="10"/>
      <c r="F28" s="10"/>
      <c r="G28" s="10"/>
      <c r="H28" s="10"/>
      <c r="I28" s="10"/>
      <c r="J28" s="10"/>
      <c r="K28" s="11"/>
      <c r="L28" s="11"/>
      <c r="M28" s="11"/>
      <c r="N28" s="11"/>
      <c r="O28" s="11"/>
      <c r="P28" s="11"/>
      <c r="Q28" s="11"/>
      <c r="R28" s="11"/>
    </row>
    <row r="29" spans="1:26">
      <c r="A29" s="1027" t="s">
        <v>14</v>
      </c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</row>
    <row r="30" spans="1:26" ht="16.7" customHeight="1">
      <c r="A30" s="1028" t="s">
        <v>20</v>
      </c>
      <c r="B30" s="1029"/>
      <c r="C30" s="1030" t="s">
        <v>197</v>
      </c>
      <c r="D30" s="1031"/>
      <c r="E30" s="1031"/>
      <c r="F30" s="1031"/>
      <c r="G30" s="1031"/>
      <c r="H30" s="1031"/>
      <c r="I30" s="1031"/>
      <c r="J30" s="1031"/>
      <c r="K30" s="1031"/>
      <c r="L30" s="1031"/>
      <c r="M30" s="1031"/>
      <c r="N30" s="1031"/>
      <c r="O30" s="1031"/>
      <c r="P30" s="1031"/>
      <c r="Q30" s="1031"/>
      <c r="R30" s="1031"/>
      <c r="S30" s="1031"/>
      <c r="T30" s="1031"/>
      <c r="U30" s="1031"/>
      <c r="V30" s="1031"/>
      <c r="W30" s="1031"/>
      <c r="X30" s="1031"/>
      <c r="Y30" s="1031"/>
      <c r="Z30" s="1032"/>
    </row>
    <row r="31" spans="1:26" ht="24" customHeight="1">
      <c r="A31" s="1033">
        <f>C19</f>
        <v>0</v>
      </c>
      <c r="B31" s="1034"/>
      <c r="C31" s="12"/>
      <c r="D31" s="1039"/>
      <c r="E31" s="1039"/>
      <c r="F31" s="1039"/>
      <c r="G31" s="1039"/>
      <c r="H31" s="1039"/>
      <c r="I31" s="1039"/>
      <c r="J31" s="1039"/>
      <c r="K31" s="1039"/>
      <c r="L31" s="322">
        <v>385</v>
      </c>
      <c r="M31" s="323" t="s">
        <v>190</v>
      </c>
      <c r="N31" s="322" t="s">
        <v>188</v>
      </c>
      <c r="O31" s="322">
        <f>C23</f>
        <v>24</v>
      </c>
      <c r="P31" s="322" t="s">
        <v>187</v>
      </c>
      <c r="Q31" s="322">
        <f>C24</f>
        <v>0</v>
      </c>
      <c r="R31" s="322" t="s">
        <v>184</v>
      </c>
      <c r="S31" s="322"/>
      <c r="T31" s="268"/>
      <c r="U31" s="268"/>
      <c r="V31" s="268"/>
      <c r="W31" s="268"/>
      <c r="X31" s="268"/>
      <c r="Y31" s="268"/>
      <c r="Z31" s="274"/>
    </row>
    <row r="32" spans="1:26" ht="24" customHeight="1">
      <c r="A32" s="1035"/>
      <c r="B32" s="1036"/>
      <c r="C32" s="13"/>
      <c r="D32" s="261"/>
      <c r="E32" s="262"/>
      <c r="F32" s="1041"/>
      <c r="G32" s="1041"/>
      <c r="H32" s="263"/>
      <c r="I32" s="1042"/>
      <c r="J32" s="1042"/>
      <c r="K32" s="264"/>
      <c r="L32" s="323">
        <f>C22</f>
        <v>385</v>
      </c>
      <c r="M32" s="323" t="s">
        <v>190</v>
      </c>
      <c r="N32" s="1108">
        <f>C26</f>
        <v>0</v>
      </c>
      <c r="O32" s="1108"/>
      <c r="P32" s="324" t="s">
        <v>190</v>
      </c>
      <c r="Q32" s="325">
        <f>C27</f>
        <v>100</v>
      </c>
      <c r="R32" s="324" t="s">
        <v>190</v>
      </c>
      <c r="S32" s="324">
        <v>1000</v>
      </c>
      <c r="Z32" s="275"/>
    </row>
    <row r="33" spans="1:26" ht="24" customHeight="1">
      <c r="A33" s="1047">
        <f>G19</f>
        <v>0</v>
      </c>
      <c r="B33" s="1034"/>
      <c r="C33" s="12"/>
      <c r="D33" s="1039"/>
      <c r="E33" s="1039"/>
      <c r="F33" s="1039"/>
      <c r="G33" s="1039"/>
      <c r="H33" s="1039"/>
      <c r="I33" s="1039"/>
      <c r="J33" s="1039"/>
      <c r="K33" s="1039"/>
      <c r="L33" s="322">
        <v>385</v>
      </c>
      <c r="M33" s="323" t="s">
        <v>190</v>
      </c>
      <c r="N33" s="322" t="s">
        <v>188</v>
      </c>
      <c r="O33" s="322">
        <f>G23</f>
        <v>18.5</v>
      </c>
      <c r="P33" s="322" t="s">
        <v>187</v>
      </c>
      <c r="Q33" s="322" t="e">
        <f>-G24</f>
        <v>#DIV/0!</v>
      </c>
      <c r="R33" s="322" t="s">
        <v>184</v>
      </c>
      <c r="S33" s="322"/>
      <c r="T33" s="268"/>
      <c r="U33" s="268"/>
      <c r="V33" s="268"/>
      <c r="W33" s="268"/>
      <c r="X33" s="268"/>
      <c r="Y33" s="268"/>
      <c r="Z33" s="274"/>
    </row>
    <row r="34" spans="1:26" ht="24" customHeight="1">
      <c r="A34" s="1035"/>
      <c r="B34" s="1036"/>
      <c r="C34" s="13"/>
      <c r="D34" s="261"/>
      <c r="E34" s="262"/>
      <c r="F34" s="1041"/>
      <c r="G34" s="1041"/>
      <c r="H34" s="263"/>
      <c r="I34" s="1042"/>
      <c r="J34" s="1042"/>
      <c r="K34" s="264"/>
      <c r="L34" s="323">
        <f>C25</f>
        <v>7.8499999999999993E-3</v>
      </c>
      <c r="M34" s="323" t="s">
        <v>190</v>
      </c>
      <c r="N34" s="1108">
        <f>G26</f>
        <v>0</v>
      </c>
      <c r="O34" s="1108"/>
      <c r="P34" s="324" t="s">
        <v>190</v>
      </c>
      <c r="Q34" s="325">
        <v>100</v>
      </c>
      <c r="R34" s="324" t="s">
        <v>190</v>
      </c>
      <c r="S34" s="324">
        <v>1000</v>
      </c>
      <c r="Z34" s="275"/>
    </row>
    <row r="35" spans="1:26" ht="24" customHeight="1">
      <c r="A35" s="1048">
        <f>K19</f>
        <v>0</v>
      </c>
      <c r="B35" s="1036"/>
      <c r="C35" s="12"/>
      <c r="D35" s="1039"/>
      <c r="E35" s="1039"/>
      <c r="F35" s="1039"/>
      <c r="G35" s="1039"/>
      <c r="H35" s="1039"/>
      <c r="I35" s="1039"/>
      <c r="J35" s="1039"/>
      <c r="K35" s="1039"/>
      <c r="L35" s="322">
        <v>385</v>
      </c>
      <c r="M35" s="323" t="s">
        <v>190</v>
      </c>
      <c r="N35" s="322" t="s">
        <v>188</v>
      </c>
      <c r="O35" s="322">
        <f>K23</f>
        <v>12</v>
      </c>
      <c r="P35" s="322" t="s">
        <v>187</v>
      </c>
      <c r="Q35" s="322" t="e">
        <f>-K24</f>
        <v>#DIV/0!</v>
      </c>
      <c r="R35" s="322" t="s">
        <v>184</v>
      </c>
      <c r="S35" s="322"/>
      <c r="T35" s="268"/>
      <c r="U35" s="268"/>
      <c r="V35" s="268"/>
      <c r="W35" s="268"/>
      <c r="X35" s="268"/>
      <c r="Y35" s="268"/>
      <c r="Z35" s="274"/>
    </row>
    <row r="36" spans="1:26" ht="24" customHeight="1">
      <c r="A36" s="1035"/>
      <c r="B36" s="1036"/>
      <c r="C36" s="13"/>
      <c r="D36" s="261"/>
      <c r="E36" s="262"/>
      <c r="F36" s="1041"/>
      <c r="G36" s="1041"/>
      <c r="H36" s="263"/>
      <c r="I36" s="1042"/>
      <c r="J36" s="1042"/>
      <c r="K36" s="264"/>
      <c r="L36" s="323">
        <f>C28</f>
        <v>0</v>
      </c>
      <c r="M36" s="323" t="s">
        <v>190</v>
      </c>
      <c r="N36" s="1108">
        <f>K26</f>
        <v>0</v>
      </c>
      <c r="O36" s="1108"/>
      <c r="P36" s="324" t="s">
        <v>190</v>
      </c>
      <c r="Q36" s="325">
        <v>100</v>
      </c>
      <c r="R36" s="324" t="s">
        <v>190</v>
      </c>
      <c r="S36" s="324">
        <v>1000</v>
      </c>
      <c r="Z36" s="275"/>
    </row>
    <row r="37" spans="1:26" ht="24" customHeight="1">
      <c r="A37" s="1047">
        <f>O19</f>
        <v>0</v>
      </c>
      <c r="B37" s="1034"/>
      <c r="C37" s="12"/>
      <c r="D37" s="1039"/>
      <c r="E37" s="1039"/>
      <c r="F37" s="1039"/>
      <c r="G37" s="1039"/>
      <c r="H37" s="1039"/>
      <c r="I37" s="1039"/>
      <c r="J37" s="1039"/>
      <c r="K37" s="1039"/>
      <c r="L37" s="322">
        <v>385</v>
      </c>
      <c r="M37" s="323" t="s">
        <v>190</v>
      </c>
      <c r="N37" s="322" t="s">
        <v>188</v>
      </c>
      <c r="O37" s="322">
        <f>O23</f>
        <v>13</v>
      </c>
      <c r="P37" s="322" t="s">
        <v>187</v>
      </c>
      <c r="Q37" s="322" t="e">
        <f>O24</f>
        <v>#DIV/0!</v>
      </c>
      <c r="R37" s="322" t="s">
        <v>184</v>
      </c>
      <c r="S37" s="322"/>
      <c r="T37" s="268"/>
      <c r="U37" s="268"/>
      <c r="V37" s="268"/>
      <c r="W37" s="268"/>
      <c r="X37" s="268"/>
      <c r="Y37" s="268"/>
      <c r="Z37" s="274"/>
    </row>
    <row r="38" spans="1:26" ht="24" customHeight="1">
      <c r="A38" s="1035"/>
      <c r="B38" s="1036"/>
      <c r="C38" s="13"/>
      <c r="D38" s="261"/>
      <c r="E38" s="262"/>
      <c r="F38" s="1041"/>
      <c r="G38" s="1041"/>
      <c r="H38" s="263"/>
      <c r="I38" s="1042"/>
      <c r="J38" s="1042"/>
      <c r="K38" s="264"/>
      <c r="L38" s="323">
        <f>C31</f>
        <v>0</v>
      </c>
      <c r="M38" s="323" t="s">
        <v>190</v>
      </c>
      <c r="N38" s="1108">
        <f>O26</f>
        <v>0</v>
      </c>
      <c r="O38" s="1108"/>
      <c r="P38" s="324" t="s">
        <v>190</v>
      </c>
      <c r="Q38" s="325">
        <v>100</v>
      </c>
      <c r="R38" s="324" t="s">
        <v>190</v>
      </c>
      <c r="S38" s="324">
        <v>1000</v>
      </c>
      <c r="Z38" s="275"/>
    </row>
    <row r="39" spans="1:26" ht="24" customHeight="1">
      <c r="A39" s="1047">
        <f>S19</f>
        <v>0</v>
      </c>
      <c r="B39" s="1034"/>
      <c r="C39" s="12"/>
      <c r="D39" s="1039"/>
      <c r="E39" s="1039"/>
      <c r="F39" s="1039"/>
      <c r="G39" s="1039"/>
      <c r="H39" s="1039"/>
      <c r="I39" s="1039"/>
      <c r="J39" s="1039"/>
      <c r="K39" s="1039"/>
      <c r="L39" s="322">
        <v>385</v>
      </c>
      <c r="M39" s="323" t="s">
        <v>190</v>
      </c>
      <c r="N39" s="322" t="s">
        <v>188</v>
      </c>
      <c r="O39" s="322">
        <f>S23</f>
        <v>17</v>
      </c>
      <c r="P39" s="322" t="s">
        <v>187</v>
      </c>
      <c r="Q39" s="322" t="e">
        <f>S24</f>
        <v>#DIV/0!</v>
      </c>
      <c r="R39" s="322" t="s">
        <v>184</v>
      </c>
      <c r="S39" s="322"/>
      <c r="T39" s="268"/>
      <c r="U39" s="268"/>
      <c r="V39" s="268"/>
      <c r="W39" s="268"/>
      <c r="X39" s="268"/>
      <c r="Y39" s="268"/>
      <c r="Z39" s="274"/>
    </row>
    <row r="40" spans="1:26" ht="24" customHeight="1">
      <c r="A40" s="1035"/>
      <c r="B40" s="1036"/>
      <c r="C40" s="13"/>
      <c r="D40" s="261"/>
      <c r="E40" s="262"/>
      <c r="F40" s="1041"/>
      <c r="G40" s="1041"/>
      <c r="H40" s="263"/>
      <c r="I40" s="1042"/>
      <c r="J40" s="1042"/>
      <c r="K40" s="264"/>
      <c r="L40" s="323">
        <f>C33</f>
        <v>0</v>
      </c>
      <c r="M40" s="323" t="s">
        <v>190</v>
      </c>
      <c r="N40" s="1108">
        <f>S26</f>
        <v>0</v>
      </c>
      <c r="O40" s="1108"/>
      <c r="P40" s="324" t="s">
        <v>190</v>
      </c>
      <c r="Q40" s="325">
        <v>100</v>
      </c>
      <c r="R40" s="324" t="s">
        <v>190</v>
      </c>
      <c r="S40" s="324">
        <v>1000</v>
      </c>
      <c r="Z40" s="275"/>
    </row>
    <row r="41" spans="1:26" ht="24" customHeight="1">
      <c r="A41" s="1047">
        <f>W6</f>
        <v>0</v>
      </c>
      <c r="B41" s="1034"/>
      <c r="C41" s="12"/>
      <c r="D41" s="1039"/>
      <c r="E41" s="1039"/>
      <c r="F41" s="1039"/>
      <c r="G41" s="1039"/>
      <c r="H41" s="1039"/>
      <c r="I41" s="1039"/>
      <c r="J41" s="1039"/>
      <c r="K41" s="1039"/>
      <c r="L41" s="322">
        <v>385</v>
      </c>
      <c r="M41" s="323" t="s">
        <v>190</v>
      </c>
      <c r="N41" s="322" t="s">
        <v>188</v>
      </c>
      <c r="O41" s="322">
        <f>-W23</f>
        <v>-19</v>
      </c>
      <c r="P41" s="322" t="s">
        <v>187</v>
      </c>
      <c r="Q41" s="322" t="e">
        <f>-W24</f>
        <v>#DIV/0!</v>
      </c>
      <c r="R41" s="322" t="s">
        <v>184</v>
      </c>
      <c r="S41" s="322"/>
      <c r="T41" s="268"/>
      <c r="U41" s="268"/>
      <c r="V41" s="268"/>
      <c r="W41" s="268"/>
      <c r="X41" s="268"/>
      <c r="Y41" s="268"/>
      <c r="Z41" s="274"/>
    </row>
    <row r="42" spans="1:26" ht="24" customHeight="1">
      <c r="A42" s="1035"/>
      <c r="B42" s="1036"/>
      <c r="C42" s="13"/>
      <c r="D42" s="261"/>
      <c r="E42" s="262"/>
      <c r="F42" s="1041"/>
      <c r="G42" s="1041"/>
      <c r="H42" s="263"/>
      <c r="I42" s="1042"/>
      <c r="J42" s="1042"/>
      <c r="K42" s="264"/>
      <c r="L42" s="323">
        <f>C35</f>
        <v>0</v>
      </c>
      <c r="M42" s="323" t="s">
        <v>190</v>
      </c>
      <c r="N42" s="1108">
        <f>W26</f>
        <v>0</v>
      </c>
      <c r="O42" s="1108"/>
      <c r="P42" s="324" t="s">
        <v>190</v>
      </c>
      <c r="Q42" s="325">
        <v>100</v>
      </c>
      <c r="R42" s="324" t="s">
        <v>190</v>
      </c>
      <c r="S42" s="324">
        <v>1000</v>
      </c>
      <c r="Z42" s="275"/>
    </row>
  </sheetData>
  <mergeCells count="146">
    <mergeCell ref="A39:B40"/>
    <mergeCell ref="D39:K39"/>
    <mergeCell ref="F40:G40"/>
    <mergeCell ref="I40:J40"/>
    <mergeCell ref="N40:O40"/>
    <mergeCell ref="A41:B42"/>
    <mergeCell ref="D41:K41"/>
    <mergeCell ref="F42:G42"/>
    <mergeCell ref="I42:J42"/>
    <mergeCell ref="N42:O42"/>
    <mergeCell ref="A35:B36"/>
    <mergeCell ref="D35:K35"/>
    <mergeCell ref="F36:G36"/>
    <mergeCell ref="I36:J36"/>
    <mergeCell ref="N36:O36"/>
    <mergeCell ref="A37:B38"/>
    <mergeCell ref="D37:K37"/>
    <mergeCell ref="F38:G38"/>
    <mergeCell ref="I38:J38"/>
    <mergeCell ref="N38:O38"/>
    <mergeCell ref="A29:R29"/>
    <mergeCell ref="A30:B30"/>
    <mergeCell ref="C30:Z30"/>
    <mergeCell ref="A31:B32"/>
    <mergeCell ref="D31:K31"/>
    <mergeCell ref="F32:G32"/>
    <mergeCell ref="I32:J32"/>
    <mergeCell ref="N32:O32"/>
    <mergeCell ref="A33:B34"/>
    <mergeCell ref="D33:K33"/>
    <mergeCell ref="F34:G34"/>
    <mergeCell ref="I34:J34"/>
    <mergeCell ref="N34:O34"/>
    <mergeCell ref="C26:F26"/>
    <mergeCell ref="G26:J26"/>
    <mergeCell ref="K26:N26"/>
    <mergeCell ref="O26:R26"/>
    <mergeCell ref="S26:V26"/>
    <mergeCell ref="W26:Z26"/>
    <mergeCell ref="C27:F27"/>
    <mergeCell ref="G27:J27"/>
    <mergeCell ref="K27:N27"/>
    <mergeCell ref="O27:R27"/>
    <mergeCell ref="S27:V27"/>
    <mergeCell ref="W27:Z27"/>
    <mergeCell ref="W23:Z23"/>
    <mergeCell ref="C24:F24"/>
    <mergeCell ref="G24:J24"/>
    <mergeCell ref="K24:N24"/>
    <mergeCell ref="O24:R24"/>
    <mergeCell ref="S24:V24"/>
    <mergeCell ref="W24:Z24"/>
    <mergeCell ref="C25:F25"/>
    <mergeCell ref="G25:J25"/>
    <mergeCell ref="K25:N25"/>
    <mergeCell ref="O25:R25"/>
    <mergeCell ref="S25:V25"/>
    <mergeCell ref="W25:Z25"/>
    <mergeCell ref="A20:A27"/>
    <mergeCell ref="C20:F20"/>
    <mergeCell ref="G20:J20"/>
    <mergeCell ref="K20:N20"/>
    <mergeCell ref="O20:R20"/>
    <mergeCell ref="S20:V20"/>
    <mergeCell ref="W20:Z20"/>
    <mergeCell ref="C21:F21"/>
    <mergeCell ref="G21:J21"/>
    <mergeCell ref="K21:N21"/>
    <mergeCell ref="O21:R21"/>
    <mergeCell ref="S21:V21"/>
    <mergeCell ref="W21:Z21"/>
    <mergeCell ref="C22:F22"/>
    <mergeCell ref="G22:J22"/>
    <mergeCell ref="K22:N22"/>
    <mergeCell ref="O22:R22"/>
    <mergeCell ref="S22:V22"/>
    <mergeCell ref="W22:Z22"/>
    <mergeCell ref="C23:F23"/>
    <mergeCell ref="G23:J23"/>
    <mergeCell ref="K23:N23"/>
    <mergeCell ref="O23:R23"/>
    <mergeCell ref="S23:V23"/>
    <mergeCell ref="A14:R14"/>
    <mergeCell ref="A15:Z15"/>
    <mergeCell ref="A16:J16"/>
    <mergeCell ref="K16:Z16"/>
    <mergeCell ref="A17:Z17"/>
    <mergeCell ref="A18:J18"/>
    <mergeCell ref="K18:Z18"/>
    <mergeCell ref="A19:B19"/>
    <mergeCell ref="C19:F19"/>
    <mergeCell ref="G19:J19"/>
    <mergeCell ref="K19:N19"/>
    <mergeCell ref="O19:R19"/>
    <mergeCell ref="S19:V19"/>
    <mergeCell ref="W19:Z19"/>
    <mergeCell ref="A10:B10"/>
    <mergeCell ref="C10:F10"/>
    <mergeCell ref="G10:J10"/>
    <mergeCell ref="K10:N10"/>
    <mergeCell ref="O10:R10"/>
    <mergeCell ref="S10:V10"/>
    <mergeCell ref="W10:Z10"/>
    <mergeCell ref="A12:Z12"/>
    <mergeCell ref="A13:R13"/>
    <mergeCell ref="A8:B8"/>
    <mergeCell ref="C8:F8"/>
    <mergeCell ref="G8:J8"/>
    <mergeCell ref="K8:N8"/>
    <mergeCell ref="O8:R8"/>
    <mergeCell ref="S8:V8"/>
    <mergeCell ref="W8:Z8"/>
    <mergeCell ref="A9:B9"/>
    <mergeCell ref="C9:F9"/>
    <mergeCell ref="G9:J9"/>
    <mergeCell ref="K9:N9"/>
    <mergeCell ref="O9:R9"/>
    <mergeCell ref="S9:V9"/>
    <mergeCell ref="W9:Z9"/>
    <mergeCell ref="A4:B4"/>
    <mergeCell ref="C4:H4"/>
    <mergeCell ref="I4:L4"/>
    <mergeCell ref="M4:Z4"/>
    <mergeCell ref="A5:B5"/>
    <mergeCell ref="C5:H5"/>
    <mergeCell ref="I5:L5"/>
    <mergeCell ref="M5:Z5"/>
    <mergeCell ref="A6:B7"/>
    <mergeCell ref="C6:F7"/>
    <mergeCell ref="G6:J7"/>
    <mergeCell ref="K6:N7"/>
    <mergeCell ref="O6:R7"/>
    <mergeCell ref="S6:V7"/>
    <mergeCell ref="W6:Z7"/>
    <mergeCell ref="A1:V1"/>
    <mergeCell ref="W1:X1"/>
    <mergeCell ref="Y1:Z1"/>
    <mergeCell ref="A2:C2"/>
    <mergeCell ref="O2:P2"/>
    <mergeCell ref="Q2:R2"/>
    <mergeCell ref="W2:X2"/>
    <mergeCell ref="Y2:Z2"/>
    <mergeCell ref="A3:B3"/>
    <mergeCell ref="C3:H3"/>
    <mergeCell ref="I3:L3"/>
    <mergeCell ref="M3:Z3"/>
  </mergeCells>
  <phoneticPr fontId="37" type="noConversion"/>
  <pageMargins left="0.74805557727813721" right="0.74805557727813721" top="0.98430556058883667" bottom="0.98430556058883667" header="0.51138889789581299" footer="0.51138889789581299"/>
  <pageSetup paperSize="9" scale="68" fitToWidth="0" fitToHeight="0" orientation="portrait" r:id="rId1"/>
  <rowBreaks count="1" manualBreakCount="1">
    <brk id="42" max="1048575" man="1"/>
  </rowBreaks>
  <colBreaks count="1" manualBreakCount="1">
    <brk id="26" max="1638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0000FF"/>
  </sheetPr>
  <dimension ref="A1:H9"/>
  <sheetViews>
    <sheetView zoomScale="70" zoomScaleNormal="70" zoomScaleSheetLayoutView="75" workbookViewId="0">
      <selection activeCell="C5" sqref="C5"/>
    </sheetView>
  </sheetViews>
  <sheetFormatPr defaultColWidth="9" defaultRowHeight="16.5"/>
  <cols>
    <col min="4" max="4" width="16.5" customWidth="1"/>
    <col min="5" max="5" width="45.625" customWidth="1"/>
    <col min="8" max="8" width="19.375" customWidth="1"/>
  </cols>
  <sheetData>
    <row r="1" spans="1:8">
      <c r="A1" s="2" t="s">
        <v>237</v>
      </c>
      <c r="B1" s="2" t="s">
        <v>182</v>
      </c>
      <c r="C1" s="2" t="s">
        <v>100</v>
      </c>
      <c r="D1" s="2" t="s">
        <v>43</v>
      </c>
      <c r="E1" s="28" t="s">
        <v>179</v>
      </c>
      <c r="F1" s="28" t="s">
        <v>21</v>
      </c>
      <c r="G1" s="28" t="s">
        <v>266</v>
      </c>
      <c r="H1" s="53" t="s">
        <v>98</v>
      </c>
    </row>
    <row r="2" spans="1:8">
      <c r="A2" t="s">
        <v>220</v>
      </c>
      <c r="B2" t="s">
        <v>279</v>
      </c>
      <c r="C2" t="s">
        <v>257</v>
      </c>
      <c r="D2" t="s">
        <v>165</v>
      </c>
      <c r="E2" t="s">
        <v>7</v>
      </c>
      <c r="F2" t="s">
        <v>68</v>
      </c>
      <c r="G2" t="s">
        <v>215</v>
      </c>
      <c r="H2" t="s">
        <v>165</v>
      </c>
    </row>
    <row r="3" spans="1:8">
      <c r="A3" t="s">
        <v>228</v>
      </c>
      <c r="B3" t="s">
        <v>233</v>
      </c>
      <c r="C3" t="s">
        <v>286</v>
      </c>
      <c r="D3" t="s">
        <v>133</v>
      </c>
      <c r="E3" t="s">
        <v>8</v>
      </c>
      <c r="F3" t="s">
        <v>258</v>
      </c>
      <c r="G3" t="s">
        <v>250</v>
      </c>
      <c r="H3" t="s">
        <v>436</v>
      </c>
    </row>
    <row r="4" spans="1:8">
      <c r="A4" t="s">
        <v>200</v>
      </c>
      <c r="C4" t="s">
        <v>124</v>
      </c>
      <c r="D4" t="s">
        <v>37</v>
      </c>
      <c r="E4" t="s">
        <v>413</v>
      </c>
      <c r="F4" t="s">
        <v>30</v>
      </c>
      <c r="G4" t="s">
        <v>278</v>
      </c>
      <c r="H4" t="s">
        <v>35</v>
      </c>
    </row>
    <row r="5" spans="1:8">
      <c r="D5" t="s">
        <v>11</v>
      </c>
      <c r="E5" t="s">
        <v>90</v>
      </c>
      <c r="F5" t="s">
        <v>27</v>
      </c>
      <c r="G5" t="s">
        <v>249</v>
      </c>
      <c r="H5" t="s">
        <v>217</v>
      </c>
    </row>
    <row r="6" spans="1:8">
      <c r="D6" t="s">
        <v>50</v>
      </c>
      <c r="E6" t="s">
        <v>35</v>
      </c>
      <c r="F6" t="s">
        <v>238</v>
      </c>
      <c r="G6" t="s">
        <v>404</v>
      </c>
      <c r="H6" t="s">
        <v>37</v>
      </c>
    </row>
    <row r="7" spans="1:8">
      <c r="D7" t="s">
        <v>35</v>
      </c>
      <c r="F7" t="s">
        <v>261</v>
      </c>
      <c r="H7" t="s">
        <v>73</v>
      </c>
    </row>
    <row r="8" spans="1:8">
      <c r="D8" t="s">
        <v>90</v>
      </c>
      <c r="F8" t="s">
        <v>264</v>
      </c>
    </row>
    <row r="9" spans="1:8">
      <c r="D9" t="s">
        <v>221</v>
      </c>
      <c r="F9" t="s">
        <v>247</v>
      </c>
    </row>
  </sheetData>
  <phoneticPr fontId="37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/>
  <dimension ref="A2:F52"/>
  <sheetViews>
    <sheetView topLeftCell="A7" zoomScale="70" zoomScaleNormal="70" zoomScaleSheetLayoutView="75" workbookViewId="0">
      <selection activeCell="AA19" sqref="AA18:AA19"/>
    </sheetView>
  </sheetViews>
  <sheetFormatPr defaultColWidth="9" defaultRowHeight="16.5"/>
  <cols>
    <col min="1" max="1" width="5.75" customWidth="1"/>
    <col min="2" max="2" width="17.25" customWidth="1"/>
    <col min="3" max="3" width="16.625" customWidth="1"/>
    <col min="4" max="4" width="20.75" customWidth="1"/>
    <col min="5" max="5" width="15.25" customWidth="1"/>
  </cols>
  <sheetData>
    <row r="2" spans="1:6">
      <c r="A2" s="27" t="s">
        <v>226</v>
      </c>
      <c r="B2" s="27" t="s">
        <v>410</v>
      </c>
      <c r="C2" s="27" t="s">
        <v>32</v>
      </c>
      <c r="D2" s="27" t="s">
        <v>144</v>
      </c>
      <c r="E2" s="27" t="s">
        <v>142</v>
      </c>
      <c r="F2" s="27" t="s">
        <v>191</v>
      </c>
    </row>
    <row r="3" spans="1:6">
      <c r="A3" s="1">
        <v>1</v>
      </c>
      <c r="B3" s="1"/>
      <c r="C3" s="1"/>
      <c r="D3" s="1"/>
      <c r="E3" s="1"/>
      <c r="F3" s="1"/>
    </row>
    <row r="4" spans="1:6">
      <c r="A4" s="1">
        <v>2</v>
      </c>
      <c r="B4" s="1"/>
      <c r="C4" s="1"/>
      <c r="D4" s="1"/>
      <c r="E4" s="1"/>
      <c r="F4" s="1"/>
    </row>
    <row r="5" spans="1:6">
      <c r="A5" s="1">
        <v>3</v>
      </c>
      <c r="B5" s="1"/>
      <c r="C5" s="1"/>
      <c r="D5" s="1"/>
      <c r="E5" s="1"/>
      <c r="F5" s="1"/>
    </row>
    <row r="6" spans="1:6">
      <c r="A6" s="1">
        <v>4</v>
      </c>
      <c r="B6" s="1"/>
      <c r="C6" s="1"/>
      <c r="D6" s="1"/>
      <c r="E6" s="1"/>
      <c r="F6" s="1"/>
    </row>
    <row r="7" spans="1:6">
      <c r="A7" s="1">
        <v>5</v>
      </c>
      <c r="B7" s="1"/>
      <c r="C7" s="1"/>
      <c r="D7" s="1"/>
      <c r="E7" s="1"/>
      <c r="F7" s="1"/>
    </row>
    <row r="8" spans="1:6">
      <c r="A8" s="1">
        <v>6</v>
      </c>
      <c r="B8" s="1"/>
      <c r="C8" s="1"/>
      <c r="D8" s="1"/>
      <c r="E8" s="1"/>
      <c r="F8" s="1"/>
    </row>
    <row r="9" spans="1:6">
      <c r="A9" s="1">
        <v>7</v>
      </c>
      <c r="B9" s="1"/>
      <c r="C9" s="1"/>
      <c r="D9" s="1"/>
      <c r="E9" s="1"/>
      <c r="F9" s="1"/>
    </row>
    <row r="10" spans="1:6">
      <c r="A10" s="1">
        <v>8</v>
      </c>
      <c r="B10" s="1"/>
      <c r="C10" s="1"/>
      <c r="D10" s="1"/>
      <c r="E10" s="1"/>
      <c r="F10" s="1"/>
    </row>
    <row r="11" spans="1:6">
      <c r="A11" s="1">
        <v>9</v>
      </c>
      <c r="B11" s="1"/>
      <c r="C11" s="1"/>
      <c r="D11" s="1"/>
      <c r="E11" s="1"/>
      <c r="F11" s="1"/>
    </row>
    <row r="12" spans="1:6">
      <c r="A12" s="1">
        <v>10</v>
      </c>
      <c r="B12" s="1"/>
      <c r="C12" s="1"/>
      <c r="D12" s="1"/>
      <c r="E12" s="1"/>
      <c r="F12" s="1"/>
    </row>
    <row r="13" spans="1:6">
      <c r="A13" s="1">
        <v>11</v>
      </c>
      <c r="B13" s="1"/>
      <c r="C13" s="1"/>
      <c r="D13" s="1"/>
      <c r="E13" s="1"/>
      <c r="F13" s="1"/>
    </row>
    <row r="14" spans="1:6">
      <c r="A14" s="1">
        <v>12</v>
      </c>
      <c r="B14" s="1"/>
      <c r="C14" s="1"/>
      <c r="D14" s="1"/>
      <c r="E14" s="1"/>
      <c r="F14" s="1"/>
    </row>
    <row r="15" spans="1:6">
      <c r="A15" s="1">
        <v>13</v>
      </c>
      <c r="B15" s="1"/>
      <c r="C15" s="1"/>
      <c r="D15" s="1"/>
      <c r="E15" s="1"/>
      <c r="F15" s="1"/>
    </row>
    <row r="16" spans="1:6">
      <c r="A16" s="1">
        <v>14</v>
      </c>
      <c r="B16" s="1"/>
      <c r="C16" s="1"/>
      <c r="D16" s="1"/>
      <c r="E16" s="1"/>
      <c r="F16" s="1"/>
    </row>
    <row r="17" spans="1:6">
      <c r="A17" s="1">
        <v>15</v>
      </c>
      <c r="B17" s="1"/>
      <c r="C17" s="1"/>
      <c r="D17" s="1"/>
      <c r="E17" s="1"/>
      <c r="F17" s="1"/>
    </row>
    <row r="18" spans="1:6">
      <c r="A18" s="1">
        <v>16</v>
      </c>
      <c r="B18" s="1"/>
      <c r="C18" s="1"/>
      <c r="D18" s="1"/>
      <c r="E18" s="1"/>
      <c r="F18" s="1"/>
    </row>
    <row r="19" spans="1:6">
      <c r="A19" s="1">
        <v>17</v>
      </c>
      <c r="B19" s="1"/>
      <c r="C19" s="1"/>
      <c r="D19" s="1"/>
      <c r="E19" s="1"/>
      <c r="F19" s="1"/>
    </row>
    <row r="20" spans="1:6">
      <c r="A20" s="1">
        <v>18</v>
      </c>
      <c r="B20" s="1"/>
      <c r="C20" s="1"/>
      <c r="D20" s="1"/>
      <c r="E20" s="1"/>
      <c r="F20" s="1"/>
    </row>
    <row r="21" spans="1:6">
      <c r="A21" s="1">
        <v>19</v>
      </c>
      <c r="B21" s="1"/>
      <c r="C21" s="1"/>
      <c r="D21" s="1"/>
      <c r="E21" s="1"/>
      <c r="F21" s="1"/>
    </row>
    <row r="22" spans="1:6">
      <c r="A22" s="1">
        <v>20</v>
      </c>
      <c r="B22" s="1"/>
      <c r="C22" s="1"/>
      <c r="D22" s="1"/>
      <c r="E22" s="1"/>
      <c r="F22" s="1"/>
    </row>
    <row r="23" spans="1:6">
      <c r="A23" s="1">
        <v>21</v>
      </c>
      <c r="B23" s="1"/>
      <c r="C23" s="1"/>
      <c r="D23" s="1"/>
      <c r="E23" s="1"/>
      <c r="F23" s="1"/>
    </row>
    <row r="24" spans="1:6">
      <c r="A24" s="1">
        <v>22</v>
      </c>
      <c r="B24" s="1"/>
      <c r="C24" s="1"/>
      <c r="D24" s="1"/>
      <c r="E24" s="1"/>
      <c r="F24" s="1"/>
    </row>
    <row r="25" spans="1:6">
      <c r="A25" s="1">
        <v>23</v>
      </c>
      <c r="B25" s="1"/>
      <c r="C25" s="1"/>
      <c r="D25" s="1"/>
      <c r="E25" s="1"/>
      <c r="F25" s="1"/>
    </row>
    <row r="26" spans="1:6">
      <c r="A26" s="1">
        <v>24</v>
      </c>
      <c r="B26" s="1"/>
      <c r="C26" s="1"/>
      <c r="D26" s="1"/>
      <c r="E26" s="1"/>
      <c r="F26" s="1"/>
    </row>
    <row r="27" spans="1:6">
      <c r="A27" s="1">
        <v>25</v>
      </c>
      <c r="B27" s="1"/>
      <c r="C27" s="1"/>
      <c r="D27" s="1"/>
      <c r="E27" s="1"/>
      <c r="F27" s="1"/>
    </row>
    <row r="28" spans="1:6">
      <c r="A28" s="1">
        <v>26</v>
      </c>
      <c r="B28" s="1"/>
      <c r="C28" s="1"/>
      <c r="D28" s="1"/>
      <c r="E28" s="1"/>
      <c r="F28" s="1"/>
    </row>
    <row r="29" spans="1:6">
      <c r="A29" s="1">
        <v>27</v>
      </c>
      <c r="B29" s="1"/>
      <c r="C29" s="1"/>
      <c r="D29" s="1"/>
      <c r="E29" s="1"/>
      <c r="F29" s="1"/>
    </row>
    <row r="30" spans="1:6">
      <c r="A30" s="1">
        <v>28</v>
      </c>
      <c r="B30" s="1"/>
      <c r="C30" s="1"/>
      <c r="D30" s="1"/>
      <c r="E30" s="1"/>
      <c r="F30" s="1"/>
    </row>
    <row r="31" spans="1:6">
      <c r="A31" s="1">
        <v>29</v>
      </c>
      <c r="B31" s="1"/>
      <c r="C31" s="1"/>
      <c r="D31" s="1"/>
      <c r="E31" s="1"/>
      <c r="F31" s="1"/>
    </row>
    <row r="32" spans="1:6">
      <c r="A32" s="1">
        <v>30</v>
      </c>
      <c r="B32" s="1"/>
      <c r="C32" s="1"/>
      <c r="D32" s="1"/>
      <c r="E32" s="1"/>
      <c r="F32" s="1"/>
    </row>
    <row r="33" spans="1:6">
      <c r="A33" s="1">
        <v>31</v>
      </c>
      <c r="B33" s="1"/>
      <c r="C33" s="1"/>
      <c r="D33" s="1"/>
      <c r="E33" s="1"/>
      <c r="F33" s="1"/>
    </row>
    <row r="34" spans="1:6">
      <c r="A34" s="1">
        <v>32</v>
      </c>
      <c r="B34" s="1"/>
      <c r="C34" s="1"/>
      <c r="D34" s="1"/>
      <c r="E34" s="1"/>
      <c r="F34" s="1"/>
    </row>
    <row r="35" spans="1:6">
      <c r="A35" s="1">
        <v>33</v>
      </c>
      <c r="B35" s="1"/>
      <c r="C35" s="1"/>
      <c r="D35" s="1"/>
      <c r="E35" s="1"/>
      <c r="F35" s="1"/>
    </row>
    <row r="36" spans="1:6">
      <c r="A36" s="1">
        <v>34</v>
      </c>
      <c r="B36" s="1"/>
      <c r="C36" s="1"/>
      <c r="D36" s="1"/>
      <c r="E36" s="1"/>
      <c r="F36" s="1"/>
    </row>
    <row r="37" spans="1:6">
      <c r="A37" s="1">
        <v>35</v>
      </c>
      <c r="B37" s="1"/>
      <c r="C37" s="1"/>
      <c r="D37" s="1"/>
      <c r="E37" s="1"/>
      <c r="F37" s="1"/>
    </row>
    <row r="38" spans="1:6">
      <c r="A38" s="1">
        <v>36</v>
      </c>
      <c r="B38" s="1"/>
      <c r="C38" s="1"/>
      <c r="D38" s="1"/>
      <c r="E38" s="1"/>
      <c r="F38" s="1"/>
    </row>
    <row r="39" spans="1:6">
      <c r="A39" s="1">
        <v>37</v>
      </c>
      <c r="B39" s="1"/>
      <c r="C39" s="1"/>
      <c r="D39" s="1"/>
      <c r="E39" s="1"/>
      <c r="F39" s="1"/>
    </row>
    <row r="40" spans="1:6">
      <c r="A40" s="1">
        <v>38</v>
      </c>
      <c r="B40" s="1"/>
      <c r="C40" s="1"/>
      <c r="D40" s="1"/>
      <c r="E40" s="1"/>
      <c r="F40" s="1"/>
    </row>
    <row r="41" spans="1:6">
      <c r="A41" s="1">
        <v>39</v>
      </c>
      <c r="B41" s="1"/>
      <c r="C41" s="1"/>
      <c r="D41" s="1"/>
      <c r="E41" s="1"/>
      <c r="F41" s="1"/>
    </row>
    <row r="42" spans="1:6">
      <c r="A42" s="1">
        <v>40</v>
      </c>
      <c r="B42" s="1"/>
      <c r="C42" s="1"/>
      <c r="D42" s="1"/>
      <c r="E42" s="1"/>
      <c r="F42" s="1"/>
    </row>
    <row r="43" spans="1:6">
      <c r="A43" s="1">
        <v>41</v>
      </c>
      <c r="B43" s="1"/>
      <c r="C43" s="1"/>
      <c r="D43" s="1"/>
      <c r="E43" s="1"/>
      <c r="F43" s="1"/>
    </row>
    <row r="44" spans="1:6">
      <c r="A44" s="1">
        <v>42</v>
      </c>
      <c r="B44" s="1"/>
      <c r="C44" s="1"/>
      <c r="D44" s="1"/>
      <c r="E44" s="1"/>
      <c r="F44" s="1"/>
    </row>
    <row r="45" spans="1:6">
      <c r="A45" s="1">
        <v>43</v>
      </c>
      <c r="B45" s="1"/>
      <c r="C45" s="1"/>
      <c r="D45" s="1"/>
      <c r="E45" s="1"/>
      <c r="F45" s="1"/>
    </row>
    <row r="46" spans="1:6">
      <c r="A46" s="1">
        <v>44</v>
      </c>
      <c r="B46" s="1"/>
      <c r="C46" s="1"/>
      <c r="D46" s="1"/>
      <c r="E46" s="1"/>
      <c r="F46" s="1"/>
    </row>
    <row r="47" spans="1:6">
      <c r="A47" s="1">
        <v>45</v>
      </c>
      <c r="B47" s="1"/>
      <c r="C47" s="1"/>
      <c r="D47" s="1"/>
      <c r="E47" s="1"/>
      <c r="F47" s="1"/>
    </row>
    <row r="48" spans="1:6">
      <c r="A48" s="1">
        <v>46</v>
      </c>
      <c r="B48" s="1"/>
      <c r="C48" s="1"/>
      <c r="D48" s="1"/>
      <c r="E48" s="1"/>
      <c r="F48" s="1"/>
    </row>
    <row r="49" spans="1:6">
      <c r="A49" s="1">
        <v>47</v>
      </c>
      <c r="B49" s="1"/>
      <c r="C49" s="1"/>
      <c r="D49" s="1"/>
      <c r="E49" s="1"/>
      <c r="F49" s="1"/>
    </row>
    <row r="50" spans="1:6">
      <c r="A50" s="1">
        <v>48</v>
      </c>
      <c r="B50" s="1"/>
      <c r="C50" s="1"/>
      <c r="D50" s="1"/>
      <c r="E50" s="1"/>
      <c r="F50" s="1"/>
    </row>
    <row r="51" spans="1:6">
      <c r="A51" s="1">
        <v>49</v>
      </c>
      <c r="B51" s="1"/>
      <c r="C51" s="1"/>
      <c r="D51" s="1"/>
      <c r="E51" s="1"/>
      <c r="F51" s="1"/>
    </row>
    <row r="52" spans="1:6">
      <c r="A52" s="1">
        <v>50</v>
      </c>
      <c r="B52" s="1"/>
      <c r="C52" s="1"/>
      <c r="D52" s="1"/>
      <c r="E52" s="1"/>
      <c r="F52" s="1"/>
    </row>
  </sheetData>
  <phoneticPr fontId="37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operator="equal" allowBlank="1" showInputMessage="1" showErrorMessage="1" xr:uid="{00000000-0002-0000-0D00-000000000000}">
          <x14:formula1>
            <xm:f>'드롭다운 메뉴_지우지말것!'!$A$2:$A$4</xm:f>
          </x14:formula1>
          <xm:sqref>I6:J6</xm:sqref>
        </x14:dataValidation>
        <x14:dataValidation type="list" operator="equal" allowBlank="1" showInputMessage="1" showErrorMessage="1" xr:uid="{00000000-0002-0000-0D00-000001000000}">
          <x14:formula1>
            <xm:f>'드롭다운 메뉴_지우지말것!'!$B$2:$B$3</xm:f>
          </x14:formula1>
          <xm:sqref>H10</xm:sqref>
        </x14:dataValidation>
        <x14:dataValidation type="list" operator="equal" allowBlank="1" showInputMessage="1" showErrorMessage="1" xr:uid="{00000000-0002-0000-0D00-000002000000}">
          <x14:formula1>
            <xm:f>'드롭다운 메뉴_지우지말것!'!$C$2:$C$3</xm:f>
          </x14:formula1>
          <xm:sqref>J16</xm:sqref>
        </x14:dataValidation>
        <x14:dataValidation type="list" operator="equal" allowBlank="1" showInputMessage="1" showErrorMessage="1" xr:uid="{00000000-0002-0000-0D00-000003000000}">
          <x14:formula1>
            <xm:f>'드롭다운 메뉴_지우지말것!'!$D$2:$D$9</xm:f>
          </x14:formula1>
          <xm:sqref>B3:B52</xm:sqref>
        </x14:dataValidation>
        <x14:dataValidation type="list" operator="equal" allowBlank="1" showInputMessage="1" showErrorMessage="1" xr:uid="{00000000-0002-0000-0D00-000004000000}">
          <x14:formula1>
            <xm:f>'드롭다운 메뉴_지우지말것!'!$F$2:$F$9</xm:f>
          </x14:formula1>
          <xm:sqref>D3:D52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3438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9</vt:i4>
      </vt:variant>
    </vt:vector>
  </HeadingPairs>
  <TitlesOfParts>
    <vt:vector size="23" baseType="lpstr">
      <vt:lpstr>입력1(학교시설명 등 기본사항 입력) 보고서1,2</vt:lpstr>
      <vt:lpstr>입력2(측정)</vt:lpstr>
      <vt:lpstr>보고서3</vt:lpstr>
      <vt:lpstr>측정사진</vt:lpstr>
      <vt:lpstr>실내공기질 측정기록부</vt:lpstr>
      <vt:lpstr>시료인계서</vt:lpstr>
      <vt:lpstr>시료번호 입렵</vt:lpstr>
      <vt:lpstr>포집유량 보정</vt:lpstr>
      <vt:lpstr>부유세균(시험기록부)</vt:lpstr>
      <vt:lpstr>부유세균 환산표</vt:lpstr>
      <vt:lpstr>낙하세균(시험기록부)</vt:lpstr>
      <vt:lpstr>석면 시험기록부</vt:lpstr>
      <vt:lpstr>드롭다운 메뉴_지우지말것!</vt:lpstr>
      <vt:lpstr>시료 접수대장</vt:lpstr>
      <vt:lpstr>'낙하세균(시험기록부)'!Print_Area</vt:lpstr>
      <vt:lpstr>보고서3!Print_Area</vt:lpstr>
      <vt:lpstr>'시료번호 입렵'!Print_Area</vt:lpstr>
      <vt:lpstr>'실내공기질 측정기록부'!Print_Area</vt:lpstr>
      <vt:lpstr>'입력1(학교시설명 등 기본사항 입력) 보고서1,2'!Print_Area</vt:lpstr>
      <vt:lpstr>'입력2(측정)'!Print_Area</vt:lpstr>
      <vt:lpstr>측정사진!Print_Area</vt:lpstr>
      <vt:lpstr>'포집유량 보정'!Print_Area</vt:lpstr>
      <vt:lpstr>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PC2410</dc:creator>
  <cp:lastModifiedBy>User</cp:lastModifiedBy>
  <cp:revision>285</cp:revision>
  <cp:lastPrinted>2026-06-10T08:32:45Z</cp:lastPrinted>
  <dcterms:created xsi:type="dcterms:W3CDTF">2026-04-01T19:58:34Z</dcterms:created>
  <dcterms:modified xsi:type="dcterms:W3CDTF">2026-06-30T15:11:00Z</dcterms:modified>
  <cp:version>1100.0100.01</cp:version>
</cp:coreProperties>
</file>