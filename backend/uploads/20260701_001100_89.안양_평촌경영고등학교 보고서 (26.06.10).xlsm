
<file path=[Content_Types].xml><?xml version="1.0" encoding="utf-8"?>
<Types xmlns="http://schemas.openxmlformats.org/package/2006/content-types"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lsx" ContentType="application/vnd.openxmlformats-officedocument.spreadsheetml.sheet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omments1.xml" ContentType="application/vnd.openxmlformats-officedocument.spreadsheetml.comments+xml"/>
  <Override PartName="/xl/drawings/drawing169.xml" ContentType="application/vnd.openxmlformats-officedocument.drawing+xml"/>
  <Override PartName="/xl/drawings/drawing170.xml" ContentType="application/vnd.openxmlformats-officedocument.drawing+xml"/>
  <Override PartName="/xl/drawings/drawing171.xml" ContentType="application/vnd.openxmlformats-officedocument.drawing+xml"/>
  <Override PartName="/xl/drawings/drawing172.xml" ContentType="application/vnd.openxmlformats-officedocument.drawing+xml"/>
  <Override PartName="/xl/drawings/drawing173.xml" ContentType="application/vnd.openxmlformats-officedocument.drawing+xml"/>
  <Override PartName="/xl/drawings/drawing174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1.0" lowestEdited="11.0" rupBuild="0.2292"/>
  <x:workbookPr date1904="0" showBorderUnselectedTables="1" filterPrivacy="0" promptedSolutions="0" showInkAnnotation="1" backupFile="0" saveExternalLinkValues="1" codeName="ThisWorkbook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Z:\HDD1\Data\IAQ\2026년\2026년 학교 측정\보고서\보고서 한글작업\안양엑셀\"/>
    </mc:Choice>
  </mc:AlternateContent>
  <x:bookViews>
    <x:workbookView xWindow="0" yWindow="0" windowWidth="28545" windowHeight="12000" tabRatio="960" activeTab="4"/>
  </x:bookViews>
  <x:sheets>
    <x:sheet name="입력1(학교시설명 등 기본사항 입력) 보고서1,2" sheetId="1" r:id="rId4"/>
    <x:sheet name="입력2(측정)" sheetId="2" r:id="rId5"/>
    <x:sheet name="보고서3" sheetId="3" r:id="rId6"/>
    <x:sheet name="측정사진" sheetId="4" r:id="rId7"/>
    <x:sheet name="실내공기질 측정기록부" sheetId="5" r:id="rId8"/>
    <x:sheet name="시료인계서" sheetId="6" r:id="rId9"/>
    <x:sheet name="시료번호 입렵" sheetId="7" r:id="rId10"/>
    <x:sheet name="포집유량 보정" sheetId="8" r:id="rId11"/>
    <x:sheet name="부유세균(시험기록부)" sheetId="9" r:id="rId12"/>
    <x:sheet name="부유세균 환산표" sheetId="10" r:id="rId13"/>
    <x:sheet name="낙하세균(시험기록부)" sheetId="11" r:id="rId14"/>
    <x:sheet name="석면 시험기록부" sheetId="12" r:id="rId15"/>
    <x:sheet name="드롭다운 메뉴_지우지말것!" sheetId="13" r:id="rId16"/>
    <x:sheet name="시료 접수대장" sheetId="14" r:id="rId17"/>
  </x:sheets>
  <x:externalReferences>
    <x:externalReference r:id="rId18"/>
    <x:externalReference r:id="rId19"/>
  </x:externalReferences>
  <x:definedNames>
    <x:definedName name="_xlnm.Print_Area">시료인계서!$A$1:$F$43</x:definedName>
    <x:definedName name="_xlnm.Print_Area" localSheetId="0">'입력1(학교시설명 등 기본사항 입력) 보고서1,2'!$A$1:$K$18</x:definedName>
    <x:definedName name="_xlnm.Print_Area" localSheetId="1">'입력2(측정)'!$A$1:$AO$138</x:definedName>
    <x:definedName name="_xlnm.Print_Area" localSheetId="2">보고서3!$A$1:$P$151</x:definedName>
    <x:definedName name="_xlnm.Print_Area" localSheetId="3">측정사진!$A$1:$L$35</x:definedName>
    <x:definedName name="_xlnm.Print_Area" localSheetId="4">'실내공기질 측정기록부'!$A$1:$L$51</x:definedName>
    <x:definedName name="_xlnm.Print_Area" localSheetId="6">'시료번호 입렵'!$A$1:$H$47</x:definedName>
    <x:definedName name="_xlnm.Print_Area" localSheetId="7">'포집유량 보정'!$A$1:$N$20</x:definedName>
    <x:definedName name="_xlnm.Print_Area" localSheetId="10">'낙하세균(시험기록부)'!$A$1:$R$30</x:definedName>
  </x:definedNames>
  <x:calcPr xmlns:mc="http://schemas.openxmlformats.org/markup-compatibility/2006" xmlns:hs="http://schemas.haansoft.com/office/spreadsheet/8.0" mc:Ignorable="hs" hs:hclCalcId="904"/>
</x:workbook>
</file>

<file path=xl/comments1.xml><?xml version="1.0" encoding="utf-8"?>
<x:comments xmlns:r="http://schemas.openxmlformats.org/officeDocument/2006/relationships" xmlns:c="http://schemas.openxmlformats.org/drawingml/2006/chart" xmlns:x="http://schemas.openxmlformats.org/spreadsheetml/2006/main">
  <x:authors>
    <x:author>PC2410</x:author>
  </x:authors>
  <x:commentList>
    <x:comment ref="F22:F22" authorId="0">
      <x:text>
        <x:r>
          <x:rPr>
            <x:rFont val="굴림"/>
            <x:sz val="9"/>
            <x:color rgb="ff000000"/>
            <x:b val="1"/>
          </x:rPr>
          <x:t>PC2410:
강당, 체육관 기준 
150ug/㎥</x:t>
        </x:r>
      </x:text>
    </x:comment>
  </x:commentList>
</x:comments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<x:sst xmlns:r="http://schemas.openxmlformats.org/officeDocument/2006/relationships" xmlns:c="http://schemas.openxmlformats.org/drawingml/2006/chart" xmlns:x="http://schemas.openxmlformats.org/spreadsheetml/2006/main" count="2348" uniqueCount="528">
  <x:si>
    <x:t>5. 검사결과에 따른 종합의견 및 근거자료(사진 등 첨부)</x:t>
  </x:si>
  <x:si>
    <x:t xml:space="preserve">구내매점에서 고열량 저영양식품(탄산음료포함), 정서 저해식품을 </x:t>
  </x:si>
  <x:si>
    <x:r>
      <x:t xml:space="preserve">2. 시험방법
</x:t>
    </x:r>
    <x:r>
      <x:rPr>
        <x:rFont val="돋움"/>
        <x:sz val="11"/>
        <x:color rgb="ff000000"/>
        <x:b val="1"/>
      </x:rPr>
      <x:t>실내공기질 공정시험기준 ES 02701.1e 실내 공기 중 총부유세균 측정방법 - 충돌법</x:t>
    </x:r>
  </x:si>
  <x:si>
    <x:t>4. 일반 환경위생 및 식품위생 점검 결과(점검자 :                      )</x:t>
  </x:si>
  <x:si>
    <x:t>2026 년      06   월     23 일</x:t>
  </x:si>
  <x:si>
    <x:t>매점의 취급품목은 적정하며 관리요령을 준수 하는가</x:t>
  </x:si>
  <x:si>
    <x:t>위와 같이 측정분석결과를 사실대로 기록합니다.</x:t>
  </x:si>
  <x:si>
    <x:t>낙하세균,부유세균,포름알데하이드,총유기화학물,석면</x:t>
  </x:si>
  <x:si>
    <x:t>낙하세균,부유세균,포름알데하이드,총유기화학물</x:t>
  </x:si>
  <x:si>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14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14"/>
            <x:color rgb="ff000000"/>
            <x:b val="1"/>
          </x:rPr>
        </mc:Fallback>
      </mc:AlternateContent>
      <x:t xml:space="preserve">3. 측정지점별 측정결과
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11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11"/>
            <x:color rgb="ff000000"/>
            <x:b val="1"/>
          </x:rPr>
        </mc:Fallback>
      </mc:AlternateContent>
      <x:t xml:space="preserve">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14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14"/>
            <x:color rgb="ff000000"/>
            <x:b val="1"/>
          </x:rPr>
        </mc:Fallback>
      </mc:AlternateContent>
      <x:t>3-1. 학교시설에서의 공기질</x:t>
    </x:r>
  </x:si>
  <x:si>
    <x:t>1층 보건실</x:t>
  </x:si>
  <x:si>
    <x:t>초미세먼지</x:t>
  </x:si>
  <x:si>
    <x:t>시험담당자</x:t>
  </x:si>
  <x:si>
    <x:t>※농도계산식</x:t>
  </x:si>
  <x:si>
    <x:t>3. 계산식</x:t>
  </x:si>
  <x:si>
    <x:t>측  정  자</x:t>
  </x:si>
  <x:si>
    <x:t>시료종류</x:t>
  </x:si>
  <x:si>
    <x:t>측정항목</x:t>
  </x:si>
  <x:si>
    <x:t>시료채취일</x:t>
  </x:si>
  <x:si>
    <x:t>이산화탄소</x:t>
  </x:si>
  <x:si>
    <x:t>시료채취지점</x:t>
  </x:si>
  <x:si>
    <x:t>시료번호</x:t>
  </x:si>
  <x:si>
    <x:t>분 석 자</x:t>
  </x:si>
  <x:si>
    <x:t>측 정 일 자</x:t>
  </x:si>
  <x:si>
    <x:t>(273+</x:t>
  </x:si>
  <x:si>
    <x:t>분석일자</x:t>
  </x:si>
  <x:si>
    <x:t>기술책임자</x:t>
  </x:si>
  <x:si>
    <x:t>PM10</x:t>
  </x:si>
  <x:si>
    <x:t>시  설  명</x:t>
  </x:si>
  <x:si>
    <x:t>업  체  명</x:t>
  </x:si>
  <x:si>
    <x:t>PM2.5</x:t>
  </x:si>
  <x:si>
    <x:t>일산화탄소</x:t>
  </x:si>
  <x:si>
    <x:t>측정위치</x:t>
  </x:si>
  <x:si>
    <x:t>측정지점</x:t>
  </x:si>
  <x:si>
    <x:t>시료채취자</x:t>
  </x:si>
  <x:si>
    <x:t>부유세균</x:t>
  </x:si>
  <x:si>
    <x:t>2. 분석내용</x:t>
  </x:si>
  <x:si>
    <x:t>미세먼지</x:t>
  </x:si>
  <x:si>
    <x:t>습 도(%)</x:t>
  </x:si>
  <x:si>
    <x:t>온 도(℃)</x:t>
  </x:si>
  <x:si>
    <x:t>간접측정법</x:t>
  </x:si>
  <x:si>
    <x:t>30~80%</x:t>
  </x:si>
  <x:si>
    <x:t>100 이하</x:t>
  </x:si>
  <x:si>
    <x:t>측정항목1</x:t>
  </x:si>
  <x:si>
    <x:t>아산제약(주)</x:t>
  </x:si>
  <x:si>
    <x:t>NBA-01</x:t>
  </x:si>
  <x:si>
    <x:t>NBA-03</x:t>
  </x:si>
  <x:si>
    <x:t>진드기 등</x:t>
  </x:si>
  <x:si>
    <x:t>측정장비</x:t>
  </x:si>
  <x:si>
    <x:t>24Hr</x:t>
  </x:si>
  <x:si>
    <x:t>부유곰팡이</x:t>
  </x:si>
  <x:si>
    <x:t>②
의뢰
내용</x:t>
  </x:si>
  <x:si>
    <x:t>정기점검</x:t>
  </x:si>
  <x:si>
    <x:t>평가결과</x:t>
  </x:si>
  <x:si>
    <x:t>NBA-02</x:t>
  </x:si>
  <x:si>
    <x:t>3. 결과</x:t>
  </x:si>
  <x:si>
    <x:t>시료채취일시</x:t>
  </x:si>
  <x:si>
    <x:t>구내매점</x:t>
  </x:si>
  <x:si>
    <x:t>LUTRON</x:t>
  </x:si>
  <x:si>
    <x:t>검사
횟수</x:t>
  </x:si>
  <x:si>
    <x:t>BBA-02</x:t>
  </x:si>
  <x:si>
    <x:t>NBA-06</x:t>
  </x:si>
  <x:si>
    <x:t>측정사진</x:t>
  </x:si>
  <x:si>
    <x:t>자가측정용</x:t>
  </x:si>
  <x:si>
    <x:t>시료
구분명</x:t>
  </x:si>
  <x:si>
    <x:t>BBA-03</x:t>
  </x:si>
  <x:si>
    <x:t>특이사항 없음</x:t>
  </x:si>
  <x:si>
    <x:t>현장
측정법</x:t>
  </x:si>
  <x:si>
    <x:t>HCHO</x:t>
  </x:si>
  <x:si>
    <x:t>측정일자</x:t>
  </x:si>
  <x:si>
    <x:t>정전용량</x:t>
  </x:si>
  <x:si>
    <x:t>석면 압력</x:t>
  </x:si>
  <x:si>
    <x:t>18~28℃</x:t>
  </x:si>
  <x:si>
    <x:t>총미세먼지</x:t>
  </x:si>
  <x:si>
    <x:t>①
의
뢰
인</x:t>
  </x:si>
  <x:si>
    <x:t>채취자 의견</x:t>
  </x:si>
  <x:si>
    <x:t>유치원 빈교실</x:t>
  </x:si>
  <x:si>
    <x:t>A08800</x:t>
  </x:si>
  <x:si>
    <x:t>급식시설</x:t>
  </x:si>
  <x:si>
    <x:t>케이웨더(주)</x:t>
  </x:si>
  <x:si>
    <x:t>21.6이상</x:t>
  </x:si>
  <x:si>
    <x:t>신축년도</x:t>
  </x:si>
  <x:si>
    <x:t>온도
(℃)</x:t>
  </x:si>
  <x:si>
    <x:t>점검결과</x:t>
  </x:si>
  <x:si>
    <x:t>㈜알엔
테크</x:t>
  </x:si>
  <x:si>
    <x:t>광산
란법</x:t>
  </x:si>
  <x:si>
    <x:t>IAQ-SC</x:t>
  </x:si>
  <x:si>
    <x:t>성능
검사일</x:t>
  </x:si>
  <x:si>
    <x:t>습도
(%)</x:t>
  </x:si>
  <x:si>
    <x:t>설비현항</x:t>
  </x:si>
  <x:si>
    <x:t>낙하세균</x:t>
  </x:si>
  <x:si>
    <x:t>유지
기준</x:t>
  </x:si>
  <x:si>
    <x:t>측정장소</x:t>
  </x:si>
  <x:si>
    <x:t>α-track</x:t>
  </x:si>
  <x:si>
    <x:t>전화번호</x:t>
  </x:si>
  <x:si>
    <x:t>소재지(주소)</x:t>
  </x:si>
  <x:si>
    <x:t>장기측정법</x:t>
  </x:si>
  <x:si>
    <x:t xml:space="preserve"> Co:외부
</x:t>
  </x:si>
  <x:si>
    <x:t>유량보정 항목</x:t>
  </x:si>
  <x:si>
    <x:t>석면 온도</x:t>
  </x:si>
  <x:si>
    <x:t>환기장치</x:t>
  </x:si>
  <x:si>
    <x:t>간이측정법</x:t>
  </x:si>
  <x:si>
    <x:t>환기량 계산</x:t>
  </x:si>
  <x:si>
    <x:t>검사
방법</x:t>
  </x:si>
  <x:si>
    <x:t>측정시간</x:t>
  </x:si>
  <x:si>
    <x:t>펌프유량 보정</x:t>
  </x:si>
  <x:si>
    <x:t>1층 스포티존</x:t>
  </x:si>
  <x:si>
    <x:t>시험항목</x:t>
  </x:si>
  <x:si>
    <x:t>점검항목</x:t>
  </x:si>
  <x:si>
    <x:t>5층 2-11</x:t>
  </x:si>
  <x:si>
    <x:t>전기화학식</x:t>
  </x:si>
  <x:si>
    <x:t>석면 유량</x:t>
  </x:si>
  <x:si>
    <x:t>M:
교실Co</x:t>
  </x:si>
  <x:si>
    <x:t>0-20미만</x:t>
  </x:si>
  <x:si>
    <x:t>4층 2-4</x:t>
  </x:si>
  <x:si>
    <x:t>특이사항</x:t>
  </x:si>
  <x:si>
    <x:t>진드기 키트</x:t>
  </x:si>
  <x:si>
    <x:t>측정 전</x:t>
  </x:si>
  <x:si>
    <x:t>제조
회사</x:t>
  </x:si>
  <x:si>
    <x:t>시료접수일</x:t>
  </x:si>
  <x:si>
    <x:t>학교시설</x:t>
  </x:si>
  <x:si>
    <x:t>한천배지</x:t>
  </x:si>
  <x:si>
    <x:t>상호(기관명)</x:t>
  </x:si>
  <x:si>
    <x:t>측정 후</x:t>
  </x:si>
  <x:si>
    <x:t>자연, 기계</x:t>
  </x:si>
  <x:si>
    <x:t>측정용도</x:t>
  </x:si>
  <x:si>
    <x:t>검사결과</x:t>
  </x:si>
  <x:si>
    <x:t>의뢰항목</x:t>
  </x:si>
  <x:si>
    <x:t>검사시간</x:t>
  </x:si>
  <x:si>
    <x:t>분석기간</x:t>
  </x:si>
  <x:si>
    <x:t>FAX번호</x:t>
  </x:si>
  <x:si>
    <x:t>측정조건</x:t>
  </x:si>
  <x:si>
    <x:t>②
시료채취</x:t>
  </x:si>
  <x:si>
    <x:t>총유기화합물</x:t>
  </x:si>
  <x:si>
    <x:t>낙하세균법</x:t>
  </x:si>
  <x:si>
    <x:t>NBA-04</x:t>
  </x:si>
  <x:si>
    <x:t>1층 2-12</x:t>
  </x:si>
  <x:si>
    <x:t>유치원 수업중</x:t>
  </x:si>
  <x:si>
    <x:t>SL-01</x:t>
  </x:si>
  <x:si>
    <x:t>4층 1-7반</x:t>
  </x:si>
  <x:si>
    <x:t>측정기기 사양</x:t>
  </x:si>
  <x:si>
    <x:t>검사장소</x:t>
  </x:si>
  <x:si>
    <x:t>시료번호2</x:t>
  </x:si>
  <x:si>
    <x:t>주요점검내용</x:t>
  </x:si>
  <x:si>
    <x:t>시료번호1</x:t>
  </x:si>
  <x:si>
    <x:t>1. 개요</x:t>
  </x:si>
  <x:si>
    <x:t>48Hr</x:t>
  </x:si>
  <x:si>
    <x:t>설립구분</x:t>
  </x:si>
  <x:si>
    <x:t>측정
항목</x:t>
  </x:si>
  <x:si>
    <x:t>틀별점검항목</x:t>
  </x:si>
  <x:si>
    <x:t>고등학생,성인</x:t>
  </x:si>
  <x:si>
    <x:t>BBA-01</x:t>
  </x:si>
  <x:si>
    <x:t>C103640</x:t>
  </x:si>
  <x:si>
    <x:t>3:1이하</x:t>
  </x:si>
  <x:si>
    <x:t>석면 습도</x:t>
  </x:si>
  <x:si>
    <x:t>NBA-05</x:t>
  </x:si>
  <x:si>
    <x:t>라돈
Rn</x:t>
  </x:si>
  <x:si>
    <x:t>디지털
조도계</x:t>
  </x:si>
  <x:si>
    <x:t>1층 1-12</x:t>
  </x:si>
  <x:si>
    <x:t xml:space="preserve">
환기
</x:t>
  </x:si>
  <x:si>
    <x:t>비분산적외선법</x:t>
  </x:si>
  <x:si>
    <x:t>화 장 실</x:t>
  </x:si>
  <x:si>
    <x:t>NBA-1~3</x:t>
  </x:si>
  <x:si>
    <x:t>⑤ 평가기준</x:t>
  </x:si>
  <x:si>
    <x:t>TM-01</x:t>
  </x:si>
  <x:si>
    <x:t>포름알데하이드</x:t>
  </x:si>
  <x:si>
    <x:t>관리책임자</x:t>
  </x:si>
  <x:si>
    <x:t>검사항목</x:t>
  </x:si>
  <x:si>
    <x:t>검사조건</x:t>
  </x:si>
  <x:si>
    <x:t>A11429</x:t>
  </x:si>
  <x:si>
    <x:t>A11412</x:t>
  </x:si>
  <x:si>
    <x:t>NBA-4~6</x:t>
  </x:si>
  <x:si>
    <x:t>4층 2-4반</x:t>
  </x:si>
  <x:si>
    <x:t>KW-1</x:t>
  </x:si>
  <x:si>
    <x:t>고유
번호</x:t>
  </x:si>
  <x:si>
    <x:t>A11416</x:t>
  </x:si>
  <x:si>
    <x:t>A11417</x:t>
  </x:si>
  <x:si>
    <x:t>A10741</x:t>
  </x:si>
  <x:si>
    <x:t>20이하</x:t>
  </x:si>
  <x:si>
    <x:t>측정항목2</x:t>
  </x:si>
  <x:si>
    <x:t>직접입력</x:t>
  </x:si>
  <x:si>
    <x:t>5층 1-9반</x:t>
  </x:si>
  <x:si>
    <x:t>HCHO-2-</x:t>
  </x:si>
  <x:si>
    <x:t>HCHO-3-</x:t>
  </x:si>
  <x:si>
    <x:t>HCHO-5-</x:t>
  </x:si>
  <x:si>
    <x:t>HCHO-6-</x:t>
  </x:si>
  <x:si>
    <x:t>BBA-1-</x:t>
  </x:si>
  <x:si>
    <x:t>BBA-2-</x:t>
  </x:si>
  <x:si>
    <x:t>NBA-2-</x:t>
  </x:si>
  <x:si>
    <x:t>HCHO-1-</x:t>
  </x:si>
  <x:si>
    <x:t>NBA-1-</x:t>
  </x:si>
  <x:si>
    <x:t>NBA-3-</x:t>
  </x:si>
  <x:si>
    <x:t>NBA-4-</x:t>
  </x:si>
  <x:si>
    <x:t>NBA-5-</x:t>
  </x:si>
  <x:si>
    <x:t>NBA-6-</x:t>
  </x:si>
  <x:si>
    <x:t>HCHO-4-</x:t>
  </x:si>
  <x:si>
    <x:t>BBA-3-</x:t>
  </x:si>
  <x:si>
    <x:t>기숙사</x:t>
  </x:si>
  <x:si>
    <x:t>부적합</x:t>
  </x:si>
  <x:si>
    <x:t>--</x:t>
  </x:si>
  <x:si>
    <x:t>평균</x:t>
  </x:si>
  <x:si>
    <x:t>)</x:t>
  </x:si>
  <x:si>
    <x:t>최대</x:t>
  </x:si>
  <x:si>
    <x:t>교무실</x:t>
  </x:si>
  <x:si>
    <x:t>-</x:t>
  </x:si>
  <x:si>
    <x:t>(</x:t>
  </x:si>
  <x:si>
    <x:t>C</x:t>
  </x:si>
  <x:si>
    <x:t>X</x:t>
  </x:si>
  <x:si>
    <x:t>비고</x:t>
  </x:si>
  <x:si>
    <x:t>석면</x:t>
  </x:si>
  <x:si>
    <x:t>오존</x:t>
  </x:si>
  <x:si>
    <x:t>유지</x:t>
  </x:si>
  <x:si>
    <x:t>측정일</x:t>
  </x:si>
  <x:si>
    <x:t>유재혁</x:t>
  </x:si>
  <x:si>
    <x:t>계산식</x:t>
  </x:si>
  <x:si>
    <x:t>V</x:t>
  </x:si>
  <x:si>
    <x:t>횟수</x:t>
  </x:si>
  <x:si>
    <x:t>기타</x:t>
  </x:si>
  <x:si>
    <x:t>후</x:t>
  </x:si>
  <x:si>
    <x:t>농도</x:t>
  </x:si>
  <x:si>
    <x:t>전</x:t>
  </x:si>
  <x:si>
    <x:t>교실수</x:t>
  </x:si>
  <x:si>
    <x:t>체육관</x:t>
  </x:si>
  <x:si>
    <x:t>판정</x:t>
  </x:si>
  <x:si>
    <x:t>조도</x:t>
  </x:si>
  <x:si>
    <x:t xml:space="preserve"> </x:t>
  </x:si>
  <x:si>
    <x:t>식당</x:t>
  </x:si>
  <x:si>
    <x:t>소음</x:t>
  </x:si>
  <x:si>
    <x:t>일반</x:t>
  </x:si>
  <x:si>
    <x:t>학교명</x:t>
  </x:si>
  <x:si>
    <x:t>시설명</x:t>
  </x:si>
  <x:si>
    <x:t>M</x:t>
  </x:si>
  <x:si>
    <x:t>이진혁</x:t>
  </x:si>
  <x:si>
    <x:t>압력</x:t>
  </x:si>
  <x:si>
    <x:t>곰팡이</x:t>
  </x:si>
  <x:si>
    <x:t>최소</x:t>
  </x:si>
  <x:si>
    <x:t>온도</x:t>
  </x:si>
  <x:si>
    <x:t>상수도</x:t>
  </x:si>
  <x:si>
    <x:t>진득이</x:t>
  </x:si>
  <x:si>
    <x:t>지점</x:t>
  </x:si>
  <x:si>
    <x:t>3번째</x:t>
  </x:si>
  <x:si>
    <x:t>합계</x:t>
  </x:si>
  <x:si>
    <x:t>CO2</x:t>
  </x:si>
  <x:si>
    <x:t>NO</x:t>
  </x:si>
  <x:si>
    <x:t>환기</x:t>
  </x:si>
  <x:si>
    <x:t>지하수</x:t>
  </x:si>
  <x:si>
    <x:t>n</x:t>
  </x:si>
  <x:si>
    <x:t>기압</x:t>
  </x:si>
  <x:si>
    <x:t>규모</x:t>
  </x:si>
  <x:si>
    <x:t>제조</x:t>
  </x:si>
  <x:si>
    <x:t>×</x:t>
  </x:si>
  <x:si>
    <x:t>난방</x:t>
  </x:si>
  <x:si>
    <x:t>측정중</x:t>
  </x:si>
  <x:si>
    <x:t>AB</x:t>
  </x:si>
  <x:si>
    <x:t>정수기</x:t>
  </x:si>
  <x:si>
    <x:t>BMD</x:t>
  </x:si>
  <x:si>
    <x:t>검사</x:t>
  </x:si>
  <x:si>
    <x:t>먹는물</x:t>
  </x:si>
  <x:si>
    <x:t>r</x:t>
  </x:si>
  <x:si>
    <x:t>N1</x:t>
  </x:si>
  <x:si>
    <x:t>인계자</x:t>
  </x:si>
  <x:si>
    <x:t>NO2</x:t>
  </x:si>
  <x:si>
    <x:t>평가</x:t>
  </x:si>
  <x:si>
    <x:t>진드기</x:t>
  </x:si>
  <x:si>
    <x:t>JIN</x:t>
  </x:si>
  <x:si>
    <x:t>2번째</x:t>
  </x:si>
  <x:si>
    <x:t>김종수</x:t>
  </x:si>
  <x:si>
    <x:t>박정식</x:t>
  </x:si>
  <x:si>
    <x:t>성명</x:t>
  </x:si>
  <x:si>
    <x:t>ㅊ</x:t>
  </x:si>
  <x:si>
    <x:t>저수조</x:t>
  </x:si>
  <x:si>
    <x:t>보건실</x:t>
  </x:si>
  <x:si>
    <x:t>습도</x:t>
  </x:si>
  <x:si>
    <x:t>없음</x:t>
  </x:si>
  <x:si>
    <x:t>기계</x:t>
  </x:si>
  <x:si>
    <x:t>VOC</x:t>
  </x:si>
  <x:si>
    <x:t>교실</x:t>
  </x:si>
  <x:si>
    <x:t>강당</x:t>
  </x:si>
  <x:si>
    <x:t>BBA</x:t>
  </x:si>
  <x:si>
    <x:t>인수자</x:t>
  </x:si>
  <x:si>
    <x:t>체육장</x:t>
  </x:si>
  <x:si>
    <x:t>NBA</x:t>
  </x:si>
  <x:si>
    <x:t>교장</x:t>
  </x:si>
  <x:si>
    <x:t>측정자</x:t>
  </x:si>
  <x:si>
    <x:t>N2</x:t>
  </x:si>
  <x:si>
    <x:t>중앙</x:t>
  </x:si>
  <x:si>
    <x:t>특별</x:t>
  </x:si>
  <x:si>
    <x:t>α</x:t>
  </x:si>
  <x:si>
    <x:t>Pr</x:t>
  </x:si>
  <x:si>
    <x:t>CFU</x:t>
  </x:si>
  <x:si>
    <x:t>분석자</x:t>
  </x:si>
  <x:si>
    <x:t>김신영</x:t>
  </x:si>
  <x:si>
    <x:t>충돌법</x:t>
  </x:si>
  <x:si>
    <x:t>소재지</x:t>
  </x:si>
  <x:si>
    <x:t>모델명</x:t>
  </x:si>
  <x:si>
    <x:t>김은주</x:t>
  </x:si>
  <x:si>
    <x:t>○</x:t>
  </x:si>
  <x:si>
    <x:t>측정값</x:t>
  </x:si>
  <x:si>
    <x:t>손옥기</x:t>
  </x:si>
  <x:si>
    <x:t>조리실</x:t>
  </x:si>
  <x:si>
    <x:t>개별</x:t>
  </x:si>
  <x:si>
    <x:t>마사토</x:t>
  </x:si>
  <x:si>
    <x:t>소속</x:t>
  </x:si>
  <x:si>
    <x:t>자연</x:t>
  </x:si>
  <x:si>
    <x:t>A</x:t>
  </x:si>
  <x:si>
    <x:t>1번째</x:t>
  </x:si>
  <x:si>
    <x:t>폐기물</x:t>
  </x:si>
  <x:si>
    <x:t>제작일</x:t>
  </x:si>
  <x:si>
    <x:t>급식실</x:t>
  </x:si>
  <x:si>
    <x:t>냉방</x:t>
  </x:si>
  <x:si>
    <x:t>적합</x:t>
  </x:si>
  <x:si>
    <x:t>공립</x:t>
  </x:si>
  <x:si>
    <x:t>0</x:t>
  </x:si>
  <x:si>
    <x:r>
      <x:t xml:space="preserve">2. 시험방법
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돋움"/>
            <x:sz val="11"/>
            <x:color rgb="ff000000"/>
            <hs:size val="100"/>
            <hs:ratio val="100"/>
            <hs:spacing val="0"/>
            <hs:offset val="0"/>
          </x:rPr>
        </mc:Choice>
        <mc:Fallback>
          <x:rPr>
            <x:rFont val="돋움"/>
            <x:sz val="11"/>
            <x:color rgb="ff000000"/>
          </x:rPr>
        </mc:Fallback>
      </mc:AlternateContent>
      <x:t>학교 환경위생 및 식품위생 점검기준, 2장 점검방법 및 기준, 마항 학교시설에서의 공기질등, 5)항 낙하세균</x:t>
    </x:r>
  </x:si>
  <x:si>
    <x:r>
      <x:t xml:space="preserve">1. 일반사항
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돋움"/>
            <x:sz val="6"/>
            <x:color rgb="ffffffff"/>
            <x:b val="1"/>
            <hs:size val="100"/>
            <hs:ratio val="100"/>
            <hs:spacing val="0"/>
            <hs:offset val="0"/>
          </x:rPr>
        </mc:Choice>
        <mc:Fallback>
          <x:rPr>
            <x:rFont val="돋움"/>
            <x:sz val="6"/>
            <x:color rgb="ffffffff"/>
            <x:b val="1"/>
          </x:rPr>
        </mc:Fallback>
      </mc:AlternateContent>
      <x:t>oo</x:t>
    </x:r>
  </x:si>
  <x:si>
    <x:t>HCHO, VOC, BBA, NBA</x:t>
  </x:si>
  <x:si>
    <x:t>온도
(°C)
기준
(18~28)</x:t>
  </x:si>
  <x:si>
    <x:t>2. 학교시설 환경 측정 개요</x:t>
  </x:si>
  <x:si>
    <x:t>청소·소독시기 및 방법은 적정한가</x:t>
  </x:si>
  <x:si>
    <x:t>먹는 물은 수질기준에 적합한가</x:t>
  </x:si>
  <x:si>
    <x:t>경기도 안양시 동안구 학의로 186</x:t>
  </x:si>
  <x:si>
    <x:t>상·하수도 도면이 비치되어 있는가</x:t>
  </x:si>
  <x:si>
    <x:t>총부유세균
(800CFU/㎥)</x:t>
  </x:si>
  <x:si>
    <x:t>포름알데하이드
HCHO
(직독식)</x:t>
  </x:si>
  <x:si>
    <x:t>정화조는 적법하게 관리되고 있는가</x:t>
  </x:si>
  <x:si>
    <x:t>손씻는 전용시설과 소독설비가 있는가</x:t>
  </x:si>
  <x:si>
    <x:t>책상면(lux)
(300 이상)</x:t>
  </x:si>
  <x:si>
    <x:t>초미세먼지
PM2.5
(㎍/㎥)</x:t>
  </x:si>
  <x:si>
    <x:t>이산화
질소
NO2
(ppm)</x:t>
  </x:si>
  <x:si>
    <x:t>흡착관 번호
(TVOC측정시)</x:t>
  </x:si>
  <x:si>
    <x:t>O₃(오존)
(0.06ppm)</x:t>
  </x:si>
  <x:si>
    <x:t>TENMARS ELECTONICS</x:t>
  </x:si>
  <x:si>
    <x:t>수도관은 누수 또는 노후하지 않는가</x:t>
  </x:si>
  <x:si>
    <x:t>폐기물용기 및 배치장소는 청결한가</x:t>
  </x:si>
  <x:si>
    <x:t>수영조 욕수는 수질기준에 적합한가</x:t>
  </x:si>
  <x:si>
    <x:t>온도 압력 보정
(V25℃,1기압)</x:t>
  </x:si>
  <x:si>
    <x:t>실험폐수는 적법하게 처리되고 있는가</x:t>
  </x:si>
  <x:si>
    <x:t>매점주변 및 상품진열대는 청결한가</x:t>
  </x:si>
  <x:si>
    <x:t xml:space="preserve">유재혁              </x:t>
  </x:si>
  <x:si>
    <x:t>*첨부서류
  1. 시료채취기록부</x:t>
  </x:si>
  <x:si>
    <x:r>
      <x:t xml:space="preserve">한국환경보건연구소(주)
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굴림"/>
            <x:sz val="12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굴림"/>
            <x:sz val="12"/>
            <x:color rgb="ff000000"/>
            <x:b val="1"/>
          </x:rPr>
        </mc:Fallback>
      </mc:AlternateContent>
      <x:t xml:space="preserve">
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굴림"/>
            <x:sz val="10"/>
            <x:color rgb="ff000000"/>
            <x:b val="1"/>
            <hs:size val="100"/>
            <hs:ratio val="100"/>
            <hs:spacing val="0"/>
            <hs:offset val="0"/>
          </x:rPr>
        </mc:Choice>
        <mc:Fallback>
          <x:rPr>
            <x:rFont val="굴림"/>
            <x:sz val="10"/>
            <x:color rgb="ff000000"/>
            <x:b val="1"/>
          </x:rPr>
        </mc:Fallback>
      </mc:AlternateContent>
      <x:t xml:space="preserve">        주   소 : 경기도 용인시 기흥구 금화로 106, 3층 
연락처 : 031-693-9640 </x:t>
    </x:r>
  </x:si>
  <x:si>
    <x:t>C : 공기 중 석면 및 섬유상 먼지의 농도(개/cm3)
A : 유효 포집면적(mm2)
N₁: 위상차현미경으로 계측한 시료의 총 섬유수(개)
N₂: 위상차현미경으로 계측한 바탕시료의 총 섬유수(개)
a : 현미경으로 계측한 1시야의 면적(mm2)
V(25°C, 1atm) : 환산한 채취 공기량(L)
n : 계수한 시야의 총수(개)</x:t>
  </x:si>
  <x:si>
    <x:r>
      <x:t>V(25°C, 1atm) : 25 °C, 1기압일 때 기체의 부피(m3)
T(25°C): 25 °C의 절대온도(°K),(298 °K = 273+25 °C)
P(1atm) : 1기압(atm)
V : 실제로 채취한 기체의 부피(m3) = (Q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돋움"/>
            <x:sz val="8"/>
            <x:color rgb="ff000000"/>
            <hs:size val="100"/>
            <hs:ratio val="100"/>
            <hs:spacing val="0"/>
            <hs:offset val="0"/>
          </x:rPr>
        </mc:Choice>
        <mc:Fallback>
          <x:rPr>
            <x:rFont val="돋움"/>
            <x:sz val="8"/>
            <x:color rgb="ff000000"/>
          </x:rPr>
        </mc:Fallback>
      </mc:AlternateContent>
      <x:t>ave * 시간)/103
T2 : 기체를 채취할 때의 절대온도(°K), (°K=273+°C)
P2 : 기체를 채취할 때의 기압(atm)</x:t>
    </x:r>
  </x:si>
  <x:si>
    <x:t>C : 실내 공기 중 총부유세균의 농도(CFU/m3)
CFU : 보정된 집락수
V(25°C, 1atm) : 환산된 채취공기량(m3)</x:t>
  </x:si>
  <x:si>
    <x:r>
      <x:t xml:space="preserve">※ 본 〇〇 학교 실내공기질 측정 결과 모두 “적합”인 것으로 분석됨
〇 실내공기질 관리를 위한 종합 의견
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14"/>
            <x: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14"/>
            <x:color rgb="ff000000"/>
          </x:rPr>
        </mc:Fallback>
      </mc:AlternateContent>
      <x:t>1. 환기 시스템 최적화 
· 자연 환기: 미세먼지가 보통 이하일 때 하루 최소 3회, 회당 30분 이상 맞통풍 환기를 실시하여 오염물질을 배출
· 기계 환기: 미세먼지가 '나쁨' 이상일 경우 창문을 닫고 기계식 환기 장치(공조기)를 가동
  - 조리/작업 공간: 주방 후드, 국소배기장치를 상시 가동하여 오염물질 확산 방지
2. 실내 온/습도의 관리
· 다중이용시설의 실내공기질은 겨울철 18~21℃, 여름철 24~27℃의 적정 온도를 유지하고, 습도는 40~60%로 관리
· 제습기 또는 가습기를 활용하기 습도 조절과 자연환기를 통해 온도,습도 조절
3. 오염물질 발생원 관리
· 친환경 자재: 시설 보수나 리모델링 시 친환경 건축 자재를 사용하여 폼알데하이드 등 유해물질을 원천 차단
· 청소 및 유지보수: 미세먼지와 진드기 억제를 위해 물걸레 청소를 주기적으로 실시하며, 환기 필터는 정기적으로 교체
· 금연 및 방향제 자제: 실내 흡연을 철저히 금지하고, 합성 방향제 대신 자연 환기 강화
· 사무용 기기 등에 의한 오염물 관리
 4. 기술적/시스템적 관리
· 스마트 모니터링: 일산화탄소, 블랙카본, 이산화탄소 센서를 설치하여 실시간 공기질을 예측 및 대응
· 공기청정기/공기청정기: 기계식 환기장치가 없는 경우, 고성능 필터(HEPA)가 장착된 공기청정기 사용
· 법적 기준 준수: 지하역사, 도서관, 어린이집 등 시설 종류별로 지정된 실내공기질 유지기준(PM-10, CO2, 폼알데하이드 등)을 준수
5. 제도적 관리 및 지원
· 환경부 진단 지원: 어린이집, 노인요양시설 등 민감계층 이용시설에 대해 환경공단이 공기질 측정 및 개선방안을 지원
· 관리자 교육: 실내공기질 관리법에 따라 시설 소유자는 정기적인 관리 교육의 이수</x:t>
    </x:r>
  </x:si>
  <x:si>
    <x:t>2-11, 2-4, (도제)회계실무실습실, 1-9, 1-7, (도제)세무실습실, 급식실, 체육관, 보건실, 교무실, 1-12, 2-12, 스포티존</x:t>
  </x:si>
  <x:si>
    <x:t>KEH-QPI서식-17-01 (Rev. 00)                                                                                                                       A4(210×297mm)</x:t>
  </x:si>
  <x:si>
    <x:t>VOC-1-A10741</x:t>
  </x:si>
  <x:si>
    <x:t>VOC-3-A11416</x:t>
  </x:si>
  <x:si>
    <x:t>VOC-6-A11412</x:t>
  </x:si>
  <x:si>
    <x:t>VOC-5-A08800</x:t>
  </x:si>
  <x:si>
    <x:t>VOC-2-A11429</x:t>
  </x:si>
  <x:si>
    <x:t>VOC-4-A11417</x:t>
  </x:si>
  <x:si>
    <x:t>V(25 °C,1atm)</x:t>
  </x:si>
  <x:si>
    <x:t>비(최대:최소)
(3:1)</x:t>
  </x:si>
  <x:si>
    <x:t>이산화탄소
CO2
(ppm)</x:t>
  </x:si>
  <x:si>
    <x:t>ISCFW2500037</x:t>
  </x:si>
  <x:si>
    <x:t xml:space="preserve">1000 ㎍/㎥
이하 </x:t>
  </x:si>
  <x:si>
    <x:t>14:25 ~ 14:35</x:t>
  </x:si>
  <x:si>
    <x:t>PM10
(75µg/㎥)</x:t>
  </x:si>
  <x:si>
    <x:t>한국환경보건연구소(주)</x:t>
  </x:si>
  <x:si>
    <x:t>환산 계산 및 농도 계산값</x:t>
  </x:si>
  <x:si>
    <x:t xml:space="preserve">10 CFU/실
이하 </x:t>
  </x:si>
  <x:si>
    <x:t xml:space="preserve">오존
O₃
(ppm)
</x:t>
  </x:si>
  <x:si>
    <x:t>자일렌
(700µg/㎥)</x:t>
  </x:si>
  <x:si>
    <x:t>총부유
세균
(CFU/㎥)</x:t>
  </x:si>
  <x:si>
    <x:t>낙하
세균
(CFU/실)</x:t>
  </x:si>
  <x:si>
    <x:t>조도비
(칠판면)
3:1</x:t>
  </x:si>
  <x:si>
    <x:t>13:26 ~ 13:36</x:t>
  </x:si>
  <x:si>
    <x:t>NO2
(0.05ppm)</x:t>
  </x:si>
  <x:si>
    <x:t>평균 유속
(L/min)</x:t>
  </x:si>
  <x:si>
    <x:t>미세먼지
PM10
(㎍/㎥)</x:t>
  </x:si>
  <x:si>
    <x:t>HCHO
(80µg/㎥)</x:t>
  </x:si>
  <x:si>
    <x:t>반도체
(Band Gap)</x:t>
  </x:si>
  <x:si>
    <x:t>낙하세균
(10CFU/실)</x:t>
  </x:si>
  <x:si>
    <x:t>조도비
(책상면)
3:1</x:t>
  </x:si>
  <x:si>
    <x:t>소음
(dB)
(55 이하)</x:t>
  </x:si>
  <x:si>
    <x:t>습도
(%)
(30~80)</x:t>
  </x:si>
  <x:si>
    <x:t>Rn
(148Bq/㎥)</x:t>
  </x:si>
  <x:si>
    <x:t>석면 유량 온도, 압력 보정</x:t>
  </x:si>
  <x:si>
    <x:t>스티렌
(300µg/㎥)</x:t>
  </x:si>
  <x:si>
    <x:t>포름알데하이드
(DNPH)</x:t>
  </x:si>
  <x:si>
    <x:t>유치원,초등학교(저학년)</x:t>
  </x:si>
  <x:si>
    <x:t>포집 유송(L/min)</x:t>
  </x:si>
  <x:si>
    <x:t>톨루엔
(1,000µg/㎥)</x:t>
  </x:si>
  <x:si>
    <x:t>상 수 도
및
하 수 도</x:t>
  </x:si>
  <x:si>
    <x:t>TVOC
(400µg/㎥)</x:t>
  </x:si>
  <x:si>
    <x:t>1,2,3 합계
평균
CFU</x:t>
  </x:si>
  <x:si>
    <x:t>초등학교(고학년),중학생</x:t>
  </x:si>
  <x:si>
    <x:t>진열·보관 판매하고 있는가</x:t>
  </x:si>
  <x:si>
    <x:t>PM10
(150µg/㎥)</x:t>
  </x:si>
  <x:si>
    <x:t>④ 
낙하세균
(CFU)</x:t>
  </x:si>
  <x:si>
    <x:t>진드기
(100마리/㎡)</x:t>
  </x:si>
  <x:si>
    <x:t>800 
CFU/㎥
이하</x:t>
  </x:si>
  <x:si>
    <x:t>15:00 ~ 15:10</x:t>
  </x:si>
  <x:si>
    <x:t>031-387-0274</x:t>
  </x:si>
  <x:si>
    <x:t>13:38 ~ 13:48</x:t>
  </x:si>
  <x:si>
    <x:t>13:00 ~ 14:00</x:t>
  </x:si>
  <x:si>
    <x:t>14:05 ~ 15:05</x:t>
  </x:si>
  <x:si>
    <x:t>박정식       (인)</x:t>
  </x:si>
  <x:si>
    <x:t>PM2.5
(35µg/㎥)</x:t>
  </x:si>
  <x:si>
    <x:t>석면
(0.01개/cc)</x:t>
  </x:si>
  <x:si>
    <x:t>14:02 ~ 14:12</x:t>
  </x:si>
  <x:si>
    <x:t>13:49 ~ 13:59</x:t>
  </x:si>
  <x:si>
    <x:t>13:00 ~ 15:10</x:t>
  </x:si>
  <x:si>
    <x:t>에틸벤젠
(350µg/㎥)</x:t>
  </x:si>
  <x:si>
    <x:t>13:12 ~ 14:12</x:t>
  </x:si>
  <x:si>
    <x:t>1층 (도제)회계실무실습실</x:t>
  </x:si>
  <x:si>
    <x:t>14:13 ~ 14:23</x:t>
  </x:si>
  <x:si>
    <x:t>14:46 ~ 14:56</x:t>
  </x:si>
  <x:si>
    <x:t>포름알데하이드
(직독식)</x:t>
  </x:si>
  <x:si>
    <x:t>2층 (도제)세무실무실습실</x:t>
  </x:si>
  <x:si>
    <x:t>031-387-0275</x:t>
  </x:si>
  <x:si>
    <x:t>13:03 ~ 13:13</x:t>
  </x:si>
  <x:si>
    <x:t>13:15 ~ 13:25</x:t>
  </x:si>
  <x:si>
    <x:t>CO2
(1,000ppm)</x:t>
  </x:si>
  <x:si>
    <x:t>시 험 기 록 부</x:t>
  </x:si>
  <x:si>
    <x:t>26.04.17</x:t>
  </x:si>
  <x:si>
    <x:t>(273+25)</x:t>
  </x:si>
  <x:si>
    <x:t>※ 채취공기량 계산식</x:t>
  </x:si>
  <x:si>
    <x:t>기압(mmHg)</x:t>
  </x:si>
  <x:si>
    <x:t>KMS-5100</x:t>
  </x:si>
  <x:si>
    <x:t>빈교실 일반교실</x:t>
  </x:si>
  <x:si>
    <x:t>TVOC
(직독식)</x:t>
  </x:si>
  <x:si>
    <x:t xml:space="preserve">TVOC
(㎍/㎥)
</x:t>
  </x:si>
  <x:si>
    <x:t xml:space="preserve">TM-01
</x:t>
  </x:si>
  <x:si>
    <x:t>석면
(석면없음)</x:t>
  </x:si>
  <x:si>
    <x:t>21.07.12</x:t>
  </x:si>
  <x:si>
    <x:t>박정식, 김은주</x:t>
  </x:si>
  <x:si>
    <x:t>26.02.13</x:t>
  </x:si>
  <x:si>
    <x:t>조도비
(칠판면)</x:t>
  </x:si>
  <x:si>
    <x:t>10 ppm
이하</x:t>
  </x:si>
  <x:si>
    <x:t xml:space="preserve">360 ㎍/㎥
이하 </x:t>
  </x:si>
  <x:si>
    <x:t>(서명 또는 인)</x:t>
  </x:si>
  <x:si>
    <x:t>측정 및 분석 항목</x:t>
  </x:si>
  <x:si>
    <x:t>35 ㎍/㎥
이하</x:t>
  </x:si>
  <x:si>
    <x:t>수업중 일반교실</x:t>
  </x:si>
  <x:si>
    <x:t>낙하세균,부유세균</x:t>
  </x:si>
  <x:si>
    <x:t>소음
(dB(A))</x:t>
  </x:si>
  <x:si>
    <x:t>자일렌
(㎍/㎥)</x:t>
  </x:si>
  <x:si>
    <x:t>75 ㎍/㎥
이하</x:t>
  </x:si>
  <x:si>
    <x:t>에틸벤젠
(㎍/㎥)</x:t>
  </x:si>
  <x:si>
    <x:t>SL-4033SD</x:t>
  </x:si>
  <x:si>
    <x:t>켐익
코퍼레이션</x:t>
  </x:si>
  <x:si>
    <x:t>스티렌
(㎍/㎥)</x:t>
  </x:si>
  <x:si>
    <x:t>④
측정
분석
결과</x:t>
  </x:si>
  <x:si>
    <x:t>자일렌
(㎍/㎥</x:t>
  </x:si>
  <x:si>
    <x:t>실내공기질 측정기록부</x:t>
  </x:si>
  <x:si>
    <x:t>특별점검 1-1반</x:t>
  </x:si>
  <x:si>
    <x:t>위상차
현미경법</x:t>
  </x:si>
  <x:si>
    <x:t>30 ㎍/㎥
이하</x:t>
  </x:si>
  <x:si>
    <x:t>0.06 ppm
이하</x:t>
  </x:si>
  <x:si>
    <x:t>A.P. BUCK</x:t>
  </x:si>
  <x:si>
    <x:t xml:space="preserve">700 ㎍/㎥
이하 </x:t>
  </x:si>
  <x:si>
    <x:t>톨루엔
(㎍/㎥)</x:t>
  </x:si>
  <x:si>
    <x:t>벤젠
(30µg/㎥)</x:t>
  </x:si>
  <x:si>
    <x:t>총포집유량(V)</x:t>
  </x:si>
  <x:si>
    <x:t>26.03.03</x:t>
  </x:si>
  <x:si>
    <x:t>148 Bq/㎥</x:t>
  </x:si>
  <x:si>
    <x:t>1000 ppm
이하</x:t>
  </x:si>
  <x:si>
    <x:t>총휘발성유기화합물</x:t>
  </x:si>
  <x:si>
    <x:t xml:space="preserve">지우지 말것!!!! </x:t>
  </x:si>
  <x:si>
    <x:t>TC10364004</x:t>
  </x:si>
  <x:si>
    <x:t>시료접수 및 인계서</x:t>
  </x:si>
  <x:si>
    <x:t>※ 농도 계산식</x:t>
  </x:si>
  <x:si>
    <x:t>포집시간
(min)</x:t>
  </x:si>
  <x:si>
    <x:t>25.06.18</x:t>
  </x:si>
  <x:si>
    <x:t>[별지 제21호서식]</x:t>
  </x:si>
  <x:si>
    <x:t>체육관 및 강당</x:t>
  </x:si>
  <x:si>
    <x:t xml:space="preserve">일산화탄소
CO
</x:t>
  </x:si>
  <x:si>
    <x:t>벤젠
(㎍/㎥)</x:t>
  </x:si>
  <x:si>
    <x:t>채취 시료 정보</x:t>
  </x:si>
  <x:si>
    <x:t>조도비
(책상면)</x:t>
  </x:si>
  <x:si>
    <x:t>시료
인계
사항</x:t>
  </x:si>
  <x:si>
    <x:t>TVOC
(㎍/㎥)</x:t>
  </x:si>
  <x:si>
    <x:t>대상시설(시료명)</x:t>
  </x:si>
  <x:si>
    <x:t>에틸벤젼
(㎍/㎥)</x:t>
  </x:si>
  <x:si>
    <x:t>조도
(칠판면)</x:t>
  </x:si>
  <x:si>
    <x:t>대표자
(의뢰인)</x:t>
  </x:si>
  <x:si>
    <x:t>모든항목 기준치 적합</x:t>
  </x:si>
  <x:si>
    <x:t>400 ㎍/㎥
이하</x:t>
  </x:si>
  <x:si>
    <x:t>2026.06.10</x:t>
  </x:si>
  <x:si>
    <x:t>KEH-M-02</x:t>
  </x:si>
  <x:si>
    <x:t>기 타
환경위생</x:t>
  </x:si>
  <x:si>
    <x:t>학교명
(시설명)</x:t>
  </x:si>
  <x:si>
    <x:t>BIO-CULTURE</x:t>
  </x:si>
  <x:si>
    <x:t>26.02.27</x:t>
  </x:si>
  <x:si>
    <x:t>300 Lux이상</x:t>
  </x:si>
  <x:si>
    <x:t>조도
(책상면)</x:t>
  </x:si>
  <x:si>
    <x:t>0.05 ppm
이하</x:t>
  </x:si>
  <x:si>
    <x:t>CO
(10ppm)</x:t>
  </x:si>
  <x:si>
    <x:t>55 dB(A)
이하</x:t>
  </x:si>
  <x:si>
    <x:t>26.03.05</x:t>
  </x:si>
  <x:si>
    <x:t>5층 2-11반</x:t>
  </x:si>
  <x:si>
    <x:t>KEH-SL-01</x:t>
  </x:si>
  <x:si>
    <x:t>KEH-H-01</x:t>
  </x:si>
  <x:si>
    <x:t>1,2,3 합계
평균</x:t>
  </x:si>
  <x:si>
    <x:t xml:space="preserve">300 ㎍/㎥
이하 </x:t>
  </x:si>
  <x:si>
    <x:t>KEH-V-01</x:t>
  </x:si>
  <x:si>
    <x:t>80 ug/㎥
이하</x:t>
  </x:si>
  <x:si>
    <x:t>150 ㎍/㎥
이하</x:t>
  </x:si>
  <x:si>
    <x:t>KEH-DU-01</x:t>
  </x:si>
  <x:si>
    <x:t>1층 1-12반</x:t>
  </x:si>
  <x:si>
    <x:t>평촌경영고등학교</x:t>
  </x:si>
  <x:si>
    <x:t>KEH-KW-01</x:t>
  </x:si>
  <x:si>
    <x:t>2층 2-12반</x:t>
  </x:si>
  <x:si>
    <x:t>KEH-TM-01</x:t>
  </x:si>
  <x:si>
    <x:r>
      <x:t>④ 
부
유
세
균
(CFU/m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한양신명조"/>
            <x:sz val="11"/>
            <x:color rgb="ff000000"/>
            <x:b val="1"/>
            <x:vertAlign val="superscript"/>
            <hs:superscript val="1"/>
            <hs:size val="100"/>
            <hs:ratio val="100"/>
            <hs:spacing val="0"/>
            <hs:offset val="0"/>
          </x:rPr>
        </mc:Choice>
        <mc:Fallback>
          <x:rPr>
            <x:rFont val="한양신명조"/>
            <x:sz val="11"/>
            <x:color rgb="ff000000"/>
            <x:b val="1"/>
            <x:vertAlign val="superscript"/>
          </x:rPr>
        </mc:Fallback>
      </mc:AlternateContent>
      <x:t>3</x:t>
    </x:r>
    <x:r>
      <x:rPr>
        <x:rFont val="한양신명조"/>
        <x:sz val="11"/>
        <x:color rgb="ff000000"/>
        <x:b val="1"/>
      </x:rPr>
      <x:t xml:space="preserve">) </x:t>
    </x:r>
  </x:si>
  <x:si>
    <x:t>비품비치 상태 및 시설설비는 고장이 없는가</x:t>
  </x:si>
  <x:si>
    <x:t>2026년 03월 28일 ~ 03월 29일</x:t>
  </x:si>
  <x:si>
    <x:t>HANGANG
Prepared Media</x:t>
  </x:si>
  <x:si>
    <x:t>입영자의 위생·안전지도가 이루어지는가</x:t>
  </x:si>
  <x:si>
    <x:t>쥐 및 위생해충 등을 제거하여 없는가</x:t>
  </x:si>
  <x:si>
    <x:t>포름알데하이드
HCHO
( DNPH)</x:t>
  </x:si>
  <x:si>
    <x:t>시설설비 및 부대시설의 관리는 양호한가</x:t>
  </x:si>
  <x:si>
    <x:t>2026-03-30~
2026-06-29</x:t>
  </x:si>
  <x:si>
    <x:t>수목·화초의 방제시기 및 방법은 적정한가</x:t>
  </x:si>
  <x:si>
    <x:t>우수·오수시설 설비는 제기능을 하는가</x:t>
  </x:si>
  <x:si>
    <x:t>Ct : t시간후 평균 이산화탄소 농도</x:t>
  </x:si>
  <x:si>
    <x:t>폐기물의 구분, 처리방법·횟수는 적당한가</x:t>
  </x:si>
  <x:si>
    <x:t>26.03.03.~
26.03.06.</x:t>
  </x:si>
  <x:si>
    <x:t>조도
칠판면(lux)
(300 이상)</x:t>
  </x:si>
  <x:si>
    <x:t>물탱크는 정기적 청소와 점검을 하였는가</x:t>
  </x:si>
  <x:si>
    <x:t>폐기물 용기의 재질,구조 등은 적당한가</x:t>
  </x:si>
  <x:si>
    <x:t>청결상태, 채광·조명, 환기상태가 양호한가</x:t>
  </x:si>
  <x:si>
    <x:t>3-2 학교시설에서의 공기질 외 항목</x:t>
  </x:si>
  <x:si>
    <x:t>2026.06.12~2026.06.16.</x:t>
  </x:si>
  <x:si>
    <x:t>2026년 06월 12일 ~ 06월 13일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</x:si>
</x:sst>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numFmts count="17">
    <x:numFmt numFmtId="164" formatCode="0.000_ "/>
    <x:numFmt numFmtId="165" formatCode="yyyy&quot;년&quot;\ m&quot;월&quot;\ d&quot;일&quot;;@"/>
    <x:numFmt numFmtId="166" formatCode="0.0_ "/>
    <x:numFmt numFmtId="167" formatCode="0.0_);[Red]\(0.0\)"/>
    <x:numFmt numFmtId="168" formatCode="0_ "/>
    <x:numFmt numFmtId="169" formatCode="0.00000_);[Red]\(0.00000\)"/>
    <x:numFmt numFmtId="170" formatCode="0.000_);[Red]\(0.000\)"/>
    <x:numFmt numFmtId="171" formatCode="0.00_ "/>
    <x:numFmt numFmtId="172" formatCode="#,##0;\-#,##0;\-"/>
    <x:numFmt numFmtId="173" formatCode="#,##0.0_ "/>
    <x:numFmt numFmtId="174" formatCode="#,##0.000_ "/>
    <x:numFmt numFmtId="175" formatCode="#,##0_ "/>
    <x:numFmt numFmtId="176" formatCode="#,##0.00_ "/>
    <x:numFmt numFmtId="177" formatCode="#,##0.0000_ "/>
    <x:numFmt numFmtId="178" formatCode="0.000"/>
    <x:numFmt numFmtId="179" formatCode="0_);[Red]\(0\)"/>
    <x:numFmt numFmtId="180" formatCode="0.00000_ "/>
  </x:numFmts>
  <x:fonts count="41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돋움"/>
      <x:sz val="11"/>
      <x:color rgb="ff000000"/>
      <x:b val="1"/>
    </x:font>
    <x:font>
      <x:name val="돋움"/>
      <x:sz val="9.5"/>
      <x:color rgb="ff000000"/>
    </x:font>
    <x:font>
      <x:name val="돋움"/>
      <x:sz val="7"/>
      <x:color rgb="ff000000"/>
      <x:b val="1"/>
    </x:font>
    <x:font>
      <x:name val="한양신명조"/>
      <x:sz val="11"/>
      <x:color rgb="ff000000"/>
      <x:b val="1"/>
    </x:font>
    <x:font>
      <x:name val="돋움"/>
      <x:sz val="9"/>
      <x:color rgb="ff000000"/>
    </x:fo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8"/>
          <x:color rgb="ff000000"/>
          <hs:size val="100"/>
          <hs:ratio val="100"/>
          <hs:spacing val="0"/>
          <hs:offset val="0"/>
        </x:font>
      </mc:Choice>
      <mc:Fallback>
        <x:font>
          <x:name val="돋움"/>
          <x:sz val="8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굴림"/>
          <x:sz val="10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굴림"/>
          <x:sz val="10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굴림"/>
          <x:sz val="10"/>
          <x:color rgb="ff000000"/>
          <hs:size val="100"/>
          <hs:ratio val="100"/>
          <hs:spacing val="0"/>
          <hs:offset val="0"/>
        </x:font>
      </mc:Choice>
      <mc:Fallback>
        <x:font>
          <x:name val="굴림"/>
          <x:sz val="10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8"/>
          <x: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8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0"/>
          <x: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10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8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8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9"/>
          <x: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9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HY신명조"/>
          <x:sz val="11"/>
          <x:color rgb="ff000000"/>
          <hs:size val="100"/>
          <hs:ratio val="100"/>
          <hs:spacing val="0"/>
          <hs:offset val="0"/>
        </x:font>
      </mc:Choice>
      <mc:Fallback>
        <x:font>
          <x:name val="HY신명조"/>
          <x:sz val="11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HY신명조"/>
          <x:sz val="11"/>
          <x:color rgb="ffff0000"/>
          <hs:size val="100"/>
          <hs:ratio val="100"/>
          <hs:spacing val="0"/>
          <hs:offset val="0"/>
        </x:font>
      </mc:Choice>
      <mc:Fallback>
        <x:font>
          <x:name val="HY신명조"/>
          <x:sz val="11"/>
          <x:color rgb="ffff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1"/>
          <x:color rgb="ff000000"/>
          <hs:size val="100"/>
          <hs:ratio val="100"/>
          <hs:spacing val="0"/>
          <hs:offset val="0"/>
        </x:font>
      </mc:Choice>
      <mc:Fallback>
        <x:font>
          <x:name val="돋움"/>
          <x:sz val="11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0"/>
          <x:color rgb="ff000000"/>
          <hs:size val="100"/>
          <hs:ratio val="100"/>
          <hs:spacing val="0"/>
          <hs:offset val="0"/>
        </x:font>
      </mc:Choice>
      <mc:Fallback>
        <x:font>
          <x:name val="돋움"/>
          <x:sz val="10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HY신명조"/>
          <x:sz val="9"/>
          <x:color rgb="ffff0000"/>
          <hs:size val="100"/>
          <hs:ratio val="100"/>
          <hs:spacing val="0"/>
          <hs:offset val="0"/>
        </x:font>
      </mc:Choice>
      <mc:Fallback>
        <x:font>
          <x:name val="HY신명조"/>
          <x:sz val="9"/>
          <x:color rgb="ffff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굴림"/>
          <x:sz val="11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굴림"/>
          <x:sz val="11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굴림"/>
          <x:sz val="16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굴림"/>
          <x:sz val="16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굴림"/>
          <x:sz val="15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굴림"/>
          <x:sz val="15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굴림"/>
          <x:sz val="9"/>
          <x:color rgb="ff000000"/>
          <hs:size val="100"/>
          <hs:ratio val="100"/>
          <hs:spacing val="0"/>
          <hs:offset val="0"/>
        </x:font>
      </mc:Choice>
      <mc:Fallback>
        <x:font>
          <x:name val="굴림"/>
          <x:sz val="9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굴림"/>
          <x:sz val="11"/>
          <x:color rgb="ff000000"/>
          <hs:size val="100"/>
          <hs:ratio val="100"/>
          <hs:spacing val="0"/>
          <hs:offset val="0"/>
        </x:font>
      </mc:Choice>
      <mc:Fallback>
        <x:font>
          <x:name val="굴림"/>
          <x:sz val="11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5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5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9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9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4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4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4"/>
          <x: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14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HY신명조"/>
          <x:sz val="24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HY신명조"/>
          <x:sz val="24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6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돋움"/>
          <x:sz val="16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0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돋움"/>
          <x:sz val="10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7.5"/>
          <x:color rgb="ff000000"/>
          <hs:size val="100"/>
          <hs:ratio val="100"/>
          <hs:spacing val="0"/>
          <hs:offset val="0"/>
        </x:font>
      </mc:Choice>
      <mc:Fallback>
        <x:font>
          <x:name val="돋움"/>
          <x:sz val="7.5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6"/>
          <x:color rgb="ffffffff"/>
          <x:b val="1"/>
          <hs:size val="100"/>
          <hs:ratio val="100"/>
          <hs:spacing val="0"/>
          <hs:offset val="0"/>
        </x:font>
      </mc:Choice>
      <mc:Fallback>
        <x:font>
          <x:name val="돋움"/>
          <x:sz val="6"/>
          <x:color rgb="ffffffff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굴림"/>
          <x:sz val="12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굴림"/>
          <x:sz val="12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한양신명조"/>
          <x:sz val="11"/>
          <x:color rgb="ff000000"/>
          <x:b val="1"/>
          <x:vertAlign val="superscript"/>
          <hs:superscript val="1"/>
          <hs:size val="100"/>
          <hs:ratio val="100"/>
          <hs:spacing val="0"/>
          <hs:offset val="0"/>
        </x:font>
      </mc:Choice>
      <mc:Fallback>
        <x:font>
          <x:name val="한양신명조"/>
          <x:sz val="11"/>
          <x:color rgb="ff000000"/>
          <x:b val="1"/>
          <x:vertAlign val="superscript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굴림"/>
          <x:sz val="9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굴림"/>
          <x:sz val="9"/>
          <x:color rgb="ff000000"/>
          <x:b val="1"/>
        </x:font>
      </mc:Fallback>
    </mc:AlternateContent>
  </x:fonts>
  <x:fills count="22">
    <x:fill>
      <x:patternFill patternType="none"/>
    </x:fill>
    <x:fill>
      <x:patternFill patternType="gray125"/>
    </x:fill>
    <x:fill>
      <x:patternFill patternType="solid">
        <x:fgColor rgb="fffaf3db"/>
        <x:bgColor indexed="64"/>
      </x:patternFill>
    </x:fill>
    <x:fill>
      <x:patternFill patternType="solid">
        <x:fgColor rgb="ffffff00"/>
        <x:bgColor indexed="64"/>
      </x:patternFill>
    </x:fill>
    <x:fill>
      <x:patternFill patternType="solid">
        <x:fgColor rgb="ffe3e2da"/>
        <x:bgColor indexed="64"/>
      </x:patternFill>
    </x:fill>
    <x:fill>
      <x:patternFill patternType="solid">
        <x:fgColor rgb="ffe7e6e6"/>
        <x:bgColor indexed="64"/>
      </x:patternFill>
    </x:fill>
    <x:fill>
      <x:patternFill patternType="solid">
        <x:fgColor rgb="fff7f7f7"/>
        <x:bgColor indexed="64"/>
      </x:patternFill>
    </x:fill>
    <x:fill>
      <x:patternFill patternType="solid">
        <x:fgColor rgb="ffffe7d8"/>
        <x:bgColor indexed="64"/>
      </x:patternFill>
    </x:fill>
    <x:fill>
      <x:patternFill patternType="solid">
        <x:fgColor rgb="ffcfd3da"/>
        <x:bgColor indexed="64"/>
      </x:patternFill>
    </x:fill>
    <x:fill>
      <x:patternFill patternType="solid">
        <x:fgColor rgb="ffd3d3d3"/>
        <x:bgColor indexed="64"/>
      </x:patternFill>
    </x:fill>
    <x:fill>
      <x:patternFill patternType="solid">
        <x:fgColor rgb="fffff7cc"/>
        <x:bgColor indexed="64"/>
      </x:patternFill>
    </x:fill>
    <x:fill>
      <x:patternFill patternType="solid">
        <x:fgColor rgb="ffd9d9d9"/>
        <x:bgColor indexed="64"/>
      </x:patternFill>
    </x:fill>
    <x:fill>
      <x:patternFill patternType="solid">
        <x:fgColor rgb="ffffffff"/>
        <x:bgColor indexed="64"/>
      </x:patternFill>
    </x:fill>
    <x:fill>
      <x:patternFill patternType="solid">
        <x:fgColor rgb="ffcdf2e4"/>
        <x:bgColor indexed="64"/>
      </x:patternFill>
    </x:fill>
    <x:fill>
      <x:patternFill patternType="solid">
        <x:fgColor rgb="ffebdef1"/>
        <x:bgColor indexed="64"/>
      </x:patternFill>
    </x:fill>
    <x:fill>
      <x:patternFill patternType="solid">
        <x:fgColor rgb="ff6182d6"/>
        <x:bgColor indexed="64"/>
      </x:patternFill>
    </x:fill>
    <x:fill>
      <x:patternFill patternType="solid">
        <x:fgColor rgb="ffe7d8d8"/>
        <x:bgColor indexed="64"/>
      </x:patternFill>
    </x:fill>
    <x:fill>
      <x:patternFill patternType="solid">
        <x:fgColor rgb="ffd3d3eb"/>
        <x:bgColor indexed="64"/>
      </x:patternFill>
    </x:fill>
    <x:fill>
      <x:patternFill patternType="solid">
        <x:fgColor rgb="ffff843a"/>
        <x:bgColor indexed="64"/>
      </x:patternFill>
    </x:fill>
    <x:fill>
      <x:patternFill patternType="solid">
        <x:fgColor rgb="ffb2b2b2"/>
        <x:bgColor indexed="64"/>
      </x:patternFill>
    </x:fill>
    <x:fill>
      <x:patternFill patternType="solid">
        <x:fgColor rgb="ffd3d7e4"/>
        <x:bgColor indexed="64"/>
      </x:patternFill>
    </x:fill>
    <x:fill>
      <x:patternFill patternType="solid">
        <x:fgColor rgb="ffe7e5ce"/>
        <x:bgColor indexed="64"/>
      </x:patternFill>
    </x:fill>
  </x:fills>
  <x:borders count="116">
    <x:border>
      <x:left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</x:border>
    <x:border>
      <x:left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 style="double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</x:border>
    <x:border>
      <x:left style="double">
        <x:color indexed="64"/>
      </x:left>
      <x:right style="thin">
        <x:color indexed="64"/>
      </x:right>
      <x:top style="thin">
        <x:color indexed="64"/>
      </x:top>
      <x:bottom style="medium">
        <x:color indexed="64"/>
      </x:bottom>
    </x:border>
    <x:border>
      <x:left style="thin">
        <x:color indexed="64"/>
      </x:left>
      <x:right>
        <x:color indexed="64"/>
      </x:right>
      <x:top style="thin">
        <x:color indexed="64"/>
      </x:top>
      <x:bottom>
        <x:color indexed="64"/>
      </x:bottom>
    </x:border>
    <x:border>
      <x:left style="thin"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>
        <x:color indexed="64"/>
      </x:left>
      <x:right>
        <x:color indexed="64"/>
      </x:right>
      <x:top style="thin">
        <x:color indexed="64"/>
      </x:top>
      <x:bottom style="thin">
        <x:color indexed="64"/>
      </x:bottom>
    </x:border>
    <x:border>
      <x:left style="thin">
        <x:color indexed="64"/>
      </x:left>
      <x:right>
        <x:color indexed="64"/>
      </x:right>
      <x:top>
        <x:color indexed="64"/>
      </x:top>
      <x:bottom style="thin">
        <x:color indexed="64"/>
      </x:bottom>
    </x:border>
    <x:border>
      <x:left style="thin"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>
        <x:color indexed="64"/>
      </x:right>
      <x:top style="thin">
        <x:color indexed="64"/>
      </x:top>
      <x:bottom style="medium">
        <x:color indexed="64"/>
      </x:bottom>
    </x:border>
    <x:border>
      <x:left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</x:border>
    <x:border>
      <x:left style="thin">
        <x:color indexed="64"/>
      </x:left>
      <x:right style="thin">
        <x:color indexed="64"/>
      </x:right>
      <x:top>
        <x:color indexed="64"/>
      </x:top>
      <x:bottom style="thin">
        <x:color indexed="64"/>
      </x:bottom>
    </x:border>
    <x:border>
      <x:left style="thin">
        <x:color indexed="64"/>
      </x:left>
      <x:right style="thin">
        <x:color indexed="64"/>
      </x:right>
      <x:top style="thin">
        <x:color indexed="64"/>
      </x:top>
      <x:bottom>
        <x:color indexed="64"/>
      </x:bottom>
    </x:border>
    <x:border>
      <x:left>
        <x:color indexed="64"/>
      </x:left>
      <x:right>
        <x:color indexed="64"/>
      </x:right>
      <x:top style="thin">
        <x:color indexed="64"/>
      </x:top>
      <x:bottom>
        <x:color indexed="64"/>
      </x:bottom>
    </x:border>
    <x:border>
      <x:left>
        <x:color indexed="64"/>
      </x:left>
      <x:right>
        <x:color indexed="64"/>
      </x:right>
      <x:top>
        <x:color indexed="64"/>
      </x:top>
      <x:bottom style="thin">
        <x:color indexed="64"/>
      </x:bottom>
    </x:border>
    <x:border>
      <x:left>
        <x:color indexed="64"/>
      </x:left>
      <x:right>
        <x:color indexed="64"/>
      </x:right>
      <x:top style="thick">
        <x:color rgb="ff000000"/>
      </x:top>
      <x:bottom style="thick">
        <x:color rgb="ff000000"/>
      </x:bottom>
    </x:border>
    <x:border>
      <x:left>
        <x:color indexed="64"/>
      </x:left>
      <x:right>
        <x:color indexed="64"/>
      </x:right>
      <x:top style="thick">
        <x:color rgb="ff000000"/>
      </x:top>
      <x:bottom>
        <x:color indexed="64"/>
      </x:bottom>
    </x:border>
    <x:border>
      <x:left>
        <x:color indexed="64"/>
      </x:left>
      <x:right>
        <x:color indexed="64"/>
      </x:right>
      <x:top>
        <x:color indexed="64"/>
      </x:top>
      <x:bottom style="thick">
        <x:color rgb="ff000000"/>
      </x:bottom>
    </x:border>
    <x:border>
      <x:left>
        <x:color indexed="64"/>
      </x:left>
      <x:right style="thin">
        <x:color indexed="64"/>
      </x:right>
      <x:top style="thin">
        <x:color indexed="64"/>
      </x:top>
      <x:bottom>
        <x:color indexed="64"/>
      </x:bottom>
    </x:border>
    <x:border>
      <x:left style="thin">
        <x:color indexed="64"/>
      </x:left>
      <x:right style="medium">
        <x:color indexed="64"/>
      </x:right>
      <x:top style="medium">
        <x:color indexed="64"/>
      </x:top>
      <x:bottom style="thin">
        <x:color indexed="64"/>
      </x:bottom>
    </x:border>
    <x:border>
      <x:left style="thin">
        <x:color indexed="64"/>
      </x:left>
      <x:right style="medium">
        <x:color indexed="64"/>
      </x:right>
      <x:top style="thin">
        <x:color indexed="64"/>
      </x:top>
      <x:bottom style="thin">
        <x:color indexed="64"/>
      </x:bottom>
    </x:border>
    <x:border>
      <x:left style="thin">
        <x:color indexed="64"/>
      </x:left>
      <x:right style="medium">
        <x:color indexed="64"/>
      </x:right>
      <x:top style="thin">
        <x:color indexed="64"/>
      </x:top>
      <x:bottom style="medium">
        <x:color indexed="64"/>
      </x:bottom>
    </x:border>
    <x:border>
      <x:left style="thin">
        <x:color indexed="64"/>
      </x:left>
      <x:right>
        <x:color indexed="64"/>
      </x:right>
      <x:top style="thin">
        <x:color indexed="64"/>
      </x:top>
      <x:bottom style="thin">
        <x:color indexed="64"/>
      </x:bottom>
    </x:border>
    <x:border>
      <x:left style="thin">
        <x:color indexed="64"/>
      </x:left>
      <x:right>
        <x:color indexed="64"/>
      </x:right>
      <x:top style="thin">
        <x:color indexed="64"/>
      </x:top>
      <x:bottom style="medium">
        <x:color indexed="64"/>
      </x:bottom>
    </x:border>
    <x:border>
      <x:left style="thin">
        <x:color indexed="64"/>
      </x:left>
      <x:right>
        <x:color indexed="64"/>
      </x:right>
      <x:top style="medium">
        <x:color indexed="64"/>
      </x:top>
      <x:bottom style="thin">
        <x:color indexed="64"/>
      </x:bottom>
    </x:border>
    <x:border>
      <x:left style="thin">
        <x:color indexed="64"/>
      </x:left>
      <x:right style="thin">
        <x:color indexed="64"/>
      </x:right>
      <x:top style="medium">
        <x:color indexed="64"/>
      </x:top>
      <x:bottom style="thin">
        <x:color indexed="64"/>
      </x:bottom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medium">
        <x:color indexed="64"/>
      </x:bottom>
    </x:border>
    <x:border>
      <x:left style="hair">
        <x:color indexed="64"/>
      </x:left>
      <x:right style="hair">
        <x:color indexed="64"/>
      </x:right>
      <x:top style="hair">
        <x:color indexed="64"/>
      </x:top>
      <x:bottom style="hair">
        <x:color indexed="64"/>
      </x:bottom>
    </x:border>
    <x:border>
      <x:left style="hair">
        <x:color indexed="64"/>
      </x:left>
      <x:right>
        <x:color indexed="64"/>
      </x:right>
      <x:top style="hair">
        <x:color indexed="64"/>
      </x:top>
      <x:bottom style="hair">
        <x:color indexed="64"/>
      </x:bottom>
    </x:border>
    <x:border>
      <x:left>
        <x:color indexed="64"/>
      </x:left>
      <x:right>
        <x:color indexed="64"/>
      </x:right>
      <x:top style="hair">
        <x:color indexed="64"/>
      </x:top>
      <x:bottom style="hair">
        <x:color indexed="64"/>
      </x:bottom>
    </x:border>
    <x:border>
      <x:left style="thin">
        <x:color indexed="64"/>
      </x:left>
      <x:right style="thin">
        <x:color indexed="64"/>
      </x:right>
      <x:top>
        <x:color indexed="64"/>
      </x:top>
      <x:bottom>
        <x:color indexed="64"/>
      </x:bottom>
    </x:border>
    <x:border>
      <x:left>
        <x:color indexed="64"/>
      </x:left>
      <x:right style="thin">
        <x:color indexed="64"/>
      </x:right>
      <x:top style="thin"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 style="medium">
        <x:color indexed="64"/>
      </x:bottom>
    </x:border>
    <x:border>
      <x:left style="thin">
        <x:color indexed="64"/>
      </x:left>
      <x:right style="thin"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 style="thin">
        <x:color indexed="64"/>
      </x:right>
      <x:top>
        <x:color indexed="64"/>
      </x:top>
      <x:bottom>
        <x:color indexed="64"/>
      </x:bottom>
    </x:border>
    <x:border>
      <x:left>
        <x:color indexed="64"/>
      </x:left>
      <x:right style="thin">
        <x:color indexed="64"/>
      </x:right>
      <x:top style="medium">
        <x:color indexed="64"/>
      </x:top>
      <x:bottom style="thin">
        <x:color indexed="64"/>
      </x:bottom>
    </x:border>
    <x:border>
      <x:left style="medium">
        <x:color indexed="64"/>
      </x:left>
      <x:right style="thin">
        <x:color indexed="64"/>
      </x:right>
      <x:top style="medium">
        <x:color indexed="64"/>
      </x:top>
      <x:bottom style="thin">
        <x:color indexed="64"/>
      </x:bottom>
    </x:border>
    <x:border>
      <x:left style="medium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</x:border>
    <x:border>
      <x:left style="medium">
        <x:color indexed="64"/>
      </x:left>
      <x:right style="thin">
        <x:color indexed="64"/>
      </x:right>
      <x:top style="thin">
        <x:color indexed="64"/>
      </x:top>
      <x:bottom style="medium">
        <x:color indexed="64"/>
      </x:bottom>
    </x:border>
    <x:border>
      <x:left style="medium">
        <x:color indexed="64"/>
      </x:left>
      <x:right>
        <x:color indexed="64"/>
      </x:right>
      <x:top style="medium">
        <x:color indexed="64"/>
      </x:top>
      <x:bottom style="thin"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 style="thin">
        <x:color indexed="64"/>
      </x:bottom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thin">
        <x:color indexed="64"/>
      </x:bottom>
    </x:border>
    <x:border>
      <x:left style="medium">
        <x:color indexed="64"/>
      </x:left>
      <x:right style="medium">
        <x:color indexed="64"/>
      </x:right>
      <x:top style="thin">
        <x:color indexed="64"/>
      </x:top>
      <x:bottom style="thin">
        <x:color indexed="64"/>
      </x:bottom>
    </x:border>
    <x:border>
      <x:left style="medium">
        <x:color indexed="64"/>
      </x:left>
      <x:right style="medium">
        <x:color indexed="64"/>
      </x:right>
      <x:top style="thin"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 style="thin">
        <x:color indexed="64"/>
      </x:bottom>
    </x:border>
    <x:border>
      <x:left>
        <x:color indexed="64"/>
      </x:left>
      <x:right style="medium">
        <x:color indexed="64"/>
      </x:right>
      <x:top style="thin">
        <x:color indexed="64"/>
      </x:top>
      <x:bottom style="thin">
        <x:color indexed="64"/>
      </x:bottom>
    </x:border>
    <x:border>
      <x:left>
        <x:color indexed="64"/>
      </x:left>
      <x:right style="medium">
        <x:color indexed="64"/>
      </x:right>
      <x:top style="thin">
        <x:color indexed="64"/>
      </x:top>
      <x:bottom style="medium">
        <x:color indexed="64"/>
      </x:bottom>
    </x:border>
    <x:border>
      <x:left style="medium">
        <x:color indexed="64"/>
      </x:left>
      <x:right style="thin">
        <x:color indexed="64"/>
      </x:right>
      <x:top>
        <x:color indexed="64"/>
      </x:top>
      <x:bottom style="medium">
        <x:color indexed="64"/>
      </x:bottom>
    </x:border>
    <x:border>
      <x:left style="medium">
        <x:color indexed="64"/>
      </x:left>
      <x:right style="medium"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 style="thin">
        <x:color indexed="64"/>
      </x:right>
      <x:top>
        <x:color indexed="64"/>
      </x:top>
      <x:bottom style="thin">
        <x:color indexed="64"/>
      </x:bottom>
    </x:border>
    <x:border>
      <x:left style="thin">
        <x:color indexed="64"/>
      </x:left>
      <x:right style="medium">
        <x:color indexed="64"/>
      </x:right>
      <x:top>
        <x:color indexed="64"/>
      </x:top>
      <x:bottom style="thin">
        <x:color indexed="64"/>
      </x:bottom>
    </x:border>
    <x:border>
      <x:left style="thin">
        <x:color indexed="64"/>
      </x:left>
      <x:right style="medium">
        <x:color indexed="64"/>
      </x:right>
      <x:top style="thin">
        <x:color indexed="64"/>
      </x:top>
      <x:bottom>
        <x:color indexed="64"/>
      </x:bottom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>
        <x:color indexed="64"/>
      </x:bottom>
    </x:border>
    <x:border>
      <x:left style="medium">
        <x:color indexed="64"/>
      </x:left>
      <x:right style="thin">
        <x:color indexed="64"/>
      </x:right>
      <x:top style="thin">
        <x:color indexed="64"/>
      </x:top>
      <x:bottom>
        <x:color indexed="64"/>
      </x:bottom>
    </x:border>
    <x:border>
      <x:left style="thin">
        <x:color indexed="64"/>
      </x:left>
      <x:right style="medium">
        <x:color indexed="64"/>
      </x:right>
      <x:top>
        <x:color indexed="64"/>
      </x:top>
      <x:bottom>
        <x:color indexed="64"/>
      </x:bottom>
    </x:border>
    <x:border>
      <x:left>
        <x:color indexed="64"/>
      </x:left>
      <x:right style="thin">
        <x:color indexed="64"/>
      </x:right>
      <x:top>
        <x:color indexed="64"/>
      </x:top>
      <x:bottom style="thin"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>
        <x:color indexed="64"/>
      </x:left>
      <x:right style="medium">
        <x:color indexed="64"/>
      </x:right>
      <x:top style="thin">
        <x:color indexed="64"/>
      </x:top>
      <x:bottom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 style="thin">
        <x:color indexed="64"/>
      </x:bottom>
    </x:border>
    <x:border>
      <x:left style="thin">
        <x:color indexed="64"/>
      </x:left>
      <x:right style="medium">
        <x:color indexed="64"/>
      </x:right>
      <x:top style="medium">
        <x:color indexed="64"/>
      </x:top>
      <x:bottom>
        <x:color indexed="64"/>
      </x:bottom>
    </x:border>
    <x:border>
      <x:left style="thin">
        <x:color indexed="64"/>
      </x:left>
      <x:right style="medium">
        <x:color indexed="64"/>
      </x:right>
      <x:top>
        <x:color indexed="64"/>
      </x:top>
      <x:bottom style="medium">
        <x:color indexed="64"/>
      </x:bottom>
    </x:border>
    <x:border>
      <x:left style="medium">
        <x:color indexed="64"/>
      </x:left>
      <x:right style="medium">
        <x:color indexed="64"/>
      </x:right>
      <x:top>
        <x:color indexed="64"/>
      </x:top>
      <x:bottom style="medium">
        <x:color indexed="64"/>
      </x:bottom>
    </x:border>
    <x:border>
      <x:left style="thin"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>
        <x:color indexed="64"/>
      </x:left>
      <x:right style="thin">
        <x:color indexed="64"/>
      </x:right>
      <x:top>
        <x:color indexed="64"/>
      </x:top>
      <x:bottom style="medium">
        <x:color indexed="64"/>
      </x:bottom>
    </x:border>
    <x:border>
      <x:left style="medium">
        <x:color indexed="64"/>
      </x:left>
      <x:right style="medium">
        <x:color indexed="64"/>
      </x:right>
      <x:top style="thin"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 style="thin">
        <x:color indexed="64"/>
      </x:right>
      <x:top style="medium">
        <x:color indexed="64"/>
      </x:top>
      <x:bottom>
        <x:color indexed="64"/>
      </x:bottom>
    </x:border>
    <x:border>
      <x:left style="thin">
        <x:color indexed="64"/>
      </x:left>
      <x:right style="thin">
        <x:color indexed="64"/>
      </x:right>
      <x:top style="medium">
        <x:color indexed="64"/>
      </x:top>
      <x:bottom>
        <x:color indexed="64"/>
      </x:bottom>
    </x:border>
    <x:border>
      <x:left>
        <x:color indexed="64"/>
      </x:left>
      <x:right style="medium">
        <x:color indexed="64"/>
      </x:right>
      <x:top style="hair">
        <x:color indexed="64"/>
      </x:top>
      <x:bottom style="hair">
        <x:color indexed="64"/>
      </x:bottom>
    </x:border>
    <x:border>
      <x:left style="medium">
        <x:color indexed="64"/>
      </x:left>
      <x:right style="hair">
        <x:color indexed="64"/>
      </x:right>
      <x:top style="hair">
        <x:color indexed="64"/>
      </x:top>
      <x:bottom style="hair">
        <x:color indexed="64"/>
      </x:bottom>
    </x:border>
    <x:border>
      <x:left style="hair">
        <x:color indexed="64"/>
      </x:left>
      <x:right style="medium">
        <x:color indexed="64"/>
      </x:right>
      <x:top style="hair">
        <x:color indexed="64"/>
      </x:top>
      <x:bottom style="hair">
        <x:color indexed="64"/>
      </x:bottom>
    </x:border>
    <x:border>
      <x:left style="medium">
        <x:color indexed="64"/>
      </x:left>
      <x:right style="hair">
        <x:color indexed="64"/>
      </x:right>
      <x:top style="hair"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 style="thin">
        <x:color indexed="64"/>
      </x:bottom>
    </x:border>
    <x:border>
      <x:left style="medium">
        <x:color indexed="64"/>
      </x:left>
      <x:right style="thin">
        <x:color indexed="64"/>
      </x:right>
      <x:top style="medium">
        <x:color indexed="64"/>
      </x:top>
      <x:bottom>
        <x:color indexed="64"/>
      </x:bottom>
    </x:border>
    <x:border>
      <x:left style="medium">
        <x:color indexed="64"/>
      </x:left>
      <x:right style="thin"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 style="medium">
        <x:color indexed="64"/>
      </x:bottom>
    </x:border>
    <x:border>
      <x:left style="medium">
        <x:color indexed="64"/>
      </x:left>
      <x:right>
        <x:color indexed="64"/>
      </x:right>
      <x:top style="thin">
        <x:color indexed="64"/>
      </x:top>
      <x:bottom style="thin">
        <x:color indexed="64"/>
      </x:bottom>
    </x:border>
    <x:border>
      <x:left style="medium">
        <x:color indexed="64"/>
      </x:left>
      <x:right>
        <x:color indexed="64"/>
      </x:right>
      <x:top style="thin">
        <x:color indexed="64"/>
      </x:top>
      <x:bottom style="medium">
        <x:color indexed="64"/>
      </x:bottom>
    </x:border>
    <x:border>
      <x:left style="medium">
        <x:color indexed="64"/>
      </x:left>
      <x:right style="hair">
        <x:color indexed="64"/>
      </x:right>
      <x:top style="thin">
        <x:color indexed="64"/>
      </x:top>
      <x:bottom style="hair">
        <x:color indexed="64"/>
      </x:bottom>
    </x:border>
    <x:border>
      <x:left style="hair">
        <x:color indexed="64"/>
      </x:left>
      <x:right style="hair">
        <x:color indexed="64"/>
      </x:right>
      <x:top style="thin">
        <x:color indexed="64"/>
      </x:top>
      <x:bottom style="hair">
        <x:color indexed="64"/>
      </x:bottom>
    </x:border>
    <x:border>
      <x:left style="thin">
        <x:color indexed="64"/>
      </x:left>
      <x:right style="hair">
        <x:color indexed="64"/>
      </x:right>
      <x:top style="thin">
        <x:color indexed="64"/>
      </x:top>
      <x:bottom style="hair">
        <x:color indexed="64"/>
      </x:bottom>
    </x:border>
    <x:border>
      <x:left style="hair">
        <x:color indexed="64"/>
      </x:left>
      <x:right style="medium">
        <x:color indexed="64"/>
      </x:right>
      <x:top style="thin">
        <x:color indexed="64"/>
      </x:top>
      <x:bottom style="hair">
        <x:color indexed="64"/>
      </x:bottom>
    </x:border>
    <x:border>
      <x:left style="hair">
        <x:color indexed="64"/>
      </x:left>
      <x:right style="hair">
        <x:color indexed="64"/>
      </x:right>
      <x:top style="hair">
        <x:color indexed="64"/>
      </x:top>
      <x:bottom>
        <x:color indexed="64"/>
      </x:bottom>
    </x:border>
    <x:border>
      <x:left style="hair">
        <x:color indexed="64"/>
      </x:left>
      <x:right style="medium">
        <x:color indexed="64"/>
      </x:right>
      <x:top style="hair">
        <x:color indexed="64"/>
      </x:top>
      <x:bottom>
        <x:color indexed="64"/>
      </x:bottom>
    </x:border>
    <x:border>
      <x:left style="medium">
        <x:color indexed="64"/>
      </x:left>
      <x:right style="hair">
        <x:color indexed="64"/>
      </x:right>
      <x:top style="hair">
        <x:color indexed="64"/>
      </x:top>
      <x:bottom style="thin">
        <x:color indexed="64"/>
      </x:bottom>
    </x:border>
    <x:border>
      <x:left style="hair">
        <x:color indexed="64"/>
      </x:left>
      <x:right style="hair">
        <x:color indexed="64"/>
      </x:right>
      <x:top style="hair">
        <x:color indexed="64"/>
      </x:top>
      <x:bottom style="thin">
        <x:color indexed="64"/>
      </x:bottom>
    </x:border>
    <x:border>
      <x:left style="thin">
        <x:color indexed="64"/>
      </x:left>
      <x:right style="hair">
        <x:color indexed="64"/>
      </x:right>
      <x:top style="hair">
        <x:color indexed="64"/>
      </x:top>
      <x:bottom style="thin">
        <x:color indexed="64"/>
      </x:bottom>
    </x:border>
    <x:border>
      <x:left style="hair">
        <x:color indexed="64"/>
      </x:left>
      <x:right style="medium">
        <x:color indexed="64"/>
      </x:right>
      <x:top style="hair">
        <x:color indexed="64"/>
      </x:top>
      <x:bottom style="thin">
        <x:color indexed="64"/>
      </x:bottom>
    </x:border>
    <x:border>
      <x:left style="medium">
        <x:color indexed="64"/>
      </x:left>
      <x:right style="hair"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 style="hair">
        <x:color indexed="64"/>
      </x:right>
      <x:top>
        <x:color indexed="64"/>
      </x:top>
      <x:bottom style="hair">
        <x:color indexed="64"/>
      </x:bottom>
    </x:border>
    <x:border>
      <x:left style="medium">
        <x:color indexed="64"/>
      </x:left>
      <x:right>
        <x:color indexed="64"/>
      </x:right>
      <x:top style="thin">
        <x:color indexed="64"/>
      </x:top>
      <x:bottom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</x:border>
    <x:border>
      <x:left style="medium">
        <x:color indexed="64"/>
      </x:left>
      <x:right style="double">
        <x:color indexed="64"/>
      </x:right>
      <x:top style="thin">
        <x:color indexed="64"/>
      </x:top>
      <x:bottom>
        <x:color indexed="64"/>
      </x:bottom>
    </x:border>
    <x:border>
      <x:left style="medium">
        <x:color indexed="64"/>
      </x:left>
      <x:right style="double"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 style="double">
        <x:color indexed="64"/>
      </x:right>
      <x:top>
        <x:color indexed="64"/>
      </x:top>
      <x:bottom style="medium">
        <x:color indexed="64"/>
      </x:bottom>
    </x:border>
    <x:border>
      <x:left style="thin">
        <x:color indexed="64"/>
      </x:left>
      <x:right style="hair">
        <x:color indexed="64"/>
      </x:right>
      <x:top style="thin">
        <x:color indexed="64"/>
      </x:top>
      <x:bottom>
        <x:color indexed="64"/>
      </x:bottom>
    </x:border>
    <x:border>
      <x:left style="hair">
        <x:color indexed="64"/>
      </x:left>
      <x:right style="hair">
        <x:color indexed="64"/>
      </x:right>
      <x:top style="thin">
        <x:color indexed="64"/>
      </x:top>
      <x:bottom>
        <x:color indexed="64"/>
      </x:bottom>
    </x:border>
    <x:border>
      <x:left style="thin">
        <x:color indexed="64"/>
      </x:left>
      <x:right style="hair">
        <x:color indexed="64"/>
      </x:right>
      <x:top style="hair">
        <x:color indexed="64"/>
      </x:top>
      <x:bottom style="hair">
        <x:color indexed="64"/>
      </x:bottom>
    </x:border>
    <x:border>
      <x:left style="hair">
        <x:color indexed="64"/>
      </x:left>
      <x:right style="thin">
        <x:color indexed="64"/>
      </x:right>
      <x:top style="hair">
        <x:color indexed="64"/>
      </x:top>
      <x:bottom style="hair">
        <x:color indexed="64"/>
      </x:bottom>
    </x:border>
    <x:border>
      <x:left>
        <x:color indexed="64"/>
      </x:left>
      <x:right style="hair">
        <x:color indexed="64"/>
      </x:right>
      <x:top style="hair">
        <x:color indexed="64"/>
      </x:top>
      <x:bottom style="hair">
        <x:color indexed="64"/>
      </x:bottom>
    </x:border>
    <x:border>
      <x:left style="thin">
        <x:color indexed="64"/>
      </x:left>
      <x:right style="hair">
        <x:color indexed="64"/>
      </x:right>
      <x:top style="hair">
        <x:color indexed="64"/>
      </x:top>
      <x:bottom style="medium">
        <x:color indexed="64"/>
      </x:bottom>
    </x:border>
    <x:border>
      <x:left style="hair">
        <x:color indexed="64"/>
      </x:left>
      <x:right style="hair">
        <x:color indexed="64"/>
      </x:right>
      <x:top style="hair">
        <x:color indexed="64"/>
      </x:top>
      <x:bottom style="medium">
        <x:color indexed="64"/>
      </x:bottom>
    </x:border>
    <x:border>
      <x:left style="hair">
        <x:color indexed="64"/>
      </x:left>
      <x:right style="thin">
        <x:color indexed="64"/>
      </x:right>
      <x:top style="hair">
        <x:color indexed="64"/>
      </x:top>
      <x:bottom style="medium">
        <x:color indexed="64"/>
      </x:bottom>
    </x:border>
    <x:border>
      <x:left style="medium">
        <x:color indexed="64"/>
      </x:left>
      <x:right style="double">
        <x:color indexed="64"/>
      </x:right>
      <x:top style="thin">
        <x:color indexed="64"/>
      </x:top>
      <x:bottom style="thin">
        <x:color indexed="64"/>
      </x:bottom>
    </x:border>
    <x:border>
      <x:left style="hair">
        <x:color indexed="64"/>
      </x:left>
      <x:right style="medium">
        <x:color indexed="64"/>
      </x:right>
      <x:top style="thin">
        <x:color indexed="64"/>
      </x:top>
      <x:bottom>
        <x:color indexed="64"/>
      </x:bottom>
    </x:border>
    <x:border>
      <x:left style="thin">
        <x:color indexed="64"/>
      </x:left>
      <x:right style="hair">
        <x:color indexed="64"/>
      </x:right>
      <x:top style="thin">
        <x:color indexed="64"/>
      </x:top>
      <x:bottom style="thin">
        <x:color indexed="64"/>
      </x:bottom>
    </x:border>
    <x:border>
      <x:left style="hair">
        <x:color indexed="64"/>
      </x:left>
      <x:right style="hair">
        <x:color indexed="64"/>
      </x:right>
      <x:top style="thin">
        <x:color indexed="64"/>
      </x:top>
      <x:bottom style="thin">
        <x:color indexed="64"/>
      </x:bottom>
    </x:border>
    <x:border>
      <x:left style="hair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</x:border>
    <x:border>
      <x:left>
        <x:color indexed="64"/>
      </x:left>
      <x:right style="hair">
        <x:color indexed="64"/>
      </x:right>
      <x:top style="thin">
        <x:color indexed="64"/>
      </x:top>
      <x:bottom style="thin">
        <x:color indexed="64"/>
      </x:bottom>
    </x:border>
    <x:border>
      <x:left style="hair">
        <x:color indexed="64"/>
      </x:left>
      <x:right style="medium">
        <x:color indexed="64"/>
      </x:right>
      <x:top style="thin">
        <x:color indexed="64"/>
      </x:top>
      <x:bottom style="thin">
        <x:color indexed="64"/>
      </x:bottom>
    </x:border>
  </x:borders>
  <x:cellStyleXfs count="3">
    <x:xf numFmtId="0" fontId="0" fillId="0" borderId="0">
      <x:alignment horizontal="general" vertical="center"/>
    </x:xf>
    <x:xf numFmtId="0" fontId="0" fillId="0" borderId="0">
      <x:alignment horizontal="general" vertical="center"/>
    </x:xf>
    <x:xf numFmtId="0" fontId="0" fillId="0" borderId="0">
      <x:alignment horizontal="general" vertical="center"/>
    </x:xf>
  </x:cellStyleXfs>
  <x:cellXfs count="1117">
    <x:xf numFmtId="0" fontId="0" fillId="0" borderId="0" xfId="0" applyNumberFormat="1">
      <x:alignment horizontal="general" vertical="center"/>
    </x:xf>
    <x:xf numFmtId="0" fontId="0" fillId="0" borderId="0" xfId="0" applyNumberFormat="1">
      <x:alignment horizontal="general" vertical="center"/>
    </x:xf>
    <x:xf numFmtId="0" fontId="0" fillId="0" borderId="1" xfId="0" applyNumberFormat="1" applyBorder="1">
      <x:alignment horizontal="general" vertical="center"/>
    </x:xf>
    <x:xf numFmtId="0" fontId="0" fillId="2" borderId="0" xfId="0" applyNumberFormat="1" applyFill="1">
      <x:alignment horizontal="general" vertical="center"/>
    </x:xf>
    <x:xf numFmtId="0" fontId="6" fillId="0" borderId="2" xfId="0" applyNumberFormat="1" applyFont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0" fontId="7" fillId="0" borderId="3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0" borderId="3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3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3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0" borderId="3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3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4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4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9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NumberFormat="1" applyFont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NumberFormat="1" applyFont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0" fillId="0" borderId="0" xfId="0" applyNumberForma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0" fillId="0" borderId="0" xfId="0" applyNumberForma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1" fontId="0" fillId="0" borderId="0" xfId="0" applyNumberForma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1" fontId="0" fillId="0" borderId="0" xfId="0" applyNumberForma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5" xfId="0" applyNumberForma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5" xfId="0" applyNumberForma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6" xfId="0" applyNumberForma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6" xfId="0" applyNumberForma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0" fillId="0" borderId="7" xfId="0" applyNumberForma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0" fillId="0" borderId="7" xfId="0" applyNumberForma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7" xfId="0" applyNumberForma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7" xfId="0" applyNumberForma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0" borderId="7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7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0" fillId="0" borderId="7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0" fillId="0" borderId="7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8" xfId="0" applyNumberForma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8" xfId="0" applyNumberFormat="1" applyBorder="1" applyAlignment="1">
          <x:alignment horizontal="center" vertical="center" shrinkToFit="1"/>
        </x:xf>
      </mc:Fallback>
    </mc:AlternateContent>
    <x:xf numFmtId="170" fontId="0" fillId="0" borderId="7" xfId="0" applyNumberFormat="1" applyBorder="1" applyAlignment="1">
      <x:alignment horizontal="general" vertical="center" shrinkToFit="1"/>
    </x:xf>
    <x:xf numFmtId="166" fontId="11" fillId="0" borderId="7" xfId="0" applyNumberFormat="1" applyFont="1" applyBorder="1" applyAlignment="1">
      <x:alignment horizontal="general" vertical="center" shrinkToFit="1"/>
    </x:xf>
    <x:xf numFmtId="0" fontId="10" fillId="0" borderId="7" xfId="0" applyNumberFormat="1" applyFont="1" applyBorder="1" applyAlignment="1">
      <x:alignment horizontal="general" vertical="center" shrinkToFit="1"/>
    </x:xf>
    <mc:AlternateContent xmlns:mc="http://schemas.openxmlformats.org/markup-compatibility/2006">
      <mc:Choice xmlns:hs="http://schemas.haansoft.com/office/spreadsheet/8.0" Requires="hs">
        <x:xf numFmtId="0" fontId="0" fillId="0" borderId="9" xfId="0" applyNumberForma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9" xfId="0" applyNumberFormat="1" applyBorder="1" applyAlignment="1">
          <x:alignment horizontal="center" vertical="center" shrinkToFit="1"/>
        </x:xf>
      </mc:Fallback>
    </mc:AlternateContent>
    <x:xf numFmtId="170" fontId="0" fillId="0" borderId="10" xfId="0" applyNumberFormat="1" applyBorder="1" applyAlignment="1">
      <x:alignment horizontal="general" vertical="center" shrinkToFit="1"/>
    </x:xf>
    <x:xf numFmtId="166" fontId="11" fillId="0" borderId="10" xfId="0" applyNumberFormat="1" applyFont="1" applyBorder="1" applyAlignment="1">
      <x:alignment horizontal="general" vertical="center" shrinkToFit="1"/>
    </x:xf>
    <mc:AlternateContent xmlns:mc="http://schemas.openxmlformats.org/markup-compatibility/2006">
      <mc:Choice xmlns:hs="http://schemas.haansoft.com/office/spreadsheet/8.0" Requires="hs">
        <x:xf numFmtId="0" fontId="10" fillId="0" borderId="2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2" xfId="0" applyNumberFormat="1" applyFont="1" applyBorder="1" applyAlignment="1">
          <x:alignment horizontal="center" vertical="center" shrinkToFit="1"/>
        </x:xf>
      </mc:Fallback>
    </mc:AlternateContent>
    <x:xf numFmtId="0" fontId="10" fillId="0" borderId="10" xfId="0" applyNumberFormat="1" applyFont="1" applyBorder="1" applyAlignment="1">
      <x:alignment horizontal="general" vertical="center" shrinkToFit="1"/>
    </x:xf>
    <x:xf numFmtId="0" fontId="0" fillId="3" borderId="1" xfId="0" applyNumberFormat="1" applyFill="1" applyBorder="1">
      <x:alignment horizontal="general" vertical="center"/>
    </x:xf>
    <x:xf numFmtId="0" fontId="0" fillId="4" borderId="0" xfId="0" applyNumberFormat="1" applyFill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7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7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1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1" xfId="0" applyNumberFormat="1" applyBorder="1" applyAlignment="1">
          <x:alignment horizontal="center" vertical="center"/>
        </x:xf>
      </mc:Fallback>
    </mc:AlternateContent>
    <x:xf numFmtId="0" fontId="0" fillId="0" borderId="0" xfId="0" applyNumberFormat="1" applyAlignment="1">
      <x:alignment horizontal="general" vertical="bottom"/>
    </x:xf>
    <mc:AlternateContent xmlns:mc="http://schemas.openxmlformats.org/markup-compatibility/2006">
      <mc:Choice xmlns:hs="http://schemas.haansoft.com/office/spreadsheet/8.0" Requires="hs">
        <x:xf numFmtId="0" fontId="12" fillId="5" borderId="1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1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6" borderId="1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6" borderId="1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6" borderId="11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6" borderId="11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1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1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11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2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2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4" fillId="5" borderId="1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4" fillId="5" borderId="1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5" borderId="1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5" borderId="1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5" borderId="13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5" borderId="13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5" borderId="12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5" borderId="12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5" borderId="14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5" borderId="14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5" borderId="7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5" borderId="7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5" borderId="15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5" borderId="15" xfId="0" applyNumberFormat="1" applyFill="1" applyBorder="1" applyAlignment="1">
          <x:alignment horizontal="center" vertical="center"/>
        </x:xf>
      </mc:Fallback>
    </mc:AlternateContent>
    <x:xf numFmtId="0" fontId="15" fillId="0" borderId="0" xfId="0" applyNumberFormat="1" applyFo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0" borderId="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1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7" borderId="1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7" borderId="1" xfId="0" applyNumberFormat="1" applyFill="1" applyBorder="1" applyAlignment="1">
          <x:alignment horizontal="center" vertical="center"/>
        </x:xf>
      </mc:Fallback>
    </mc:AlternateContent>
    <x:xf numFmtId="0" fontId="16" fillId="0" borderId="1" xfId="0" applyNumberFormat="1" applyFont="1" applyBorder="1">
      <x:alignment horizontal="general" vertical="center"/>
    </x:xf>
    <x:xf numFmtId="14" fontId="0" fillId="0" borderId="0" xfId="0" applyNumberFormat="1">
      <x:alignment horizontal="general" vertical="center"/>
    </x:xf>
    <x:xf numFmtId="14" fontId="0" fillId="0" borderId="1" xfId="0" applyNumberFormat="1" applyBorder="1">
      <x:alignment horizontal="general" vertical="center"/>
    </x:xf>
    <x:xf numFmtId="0" fontId="0" fillId="8" borderId="0" xfId="0" applyNumberFormat="1" applyFill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17" fillId="0" borderId="16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7" fillId="0" borderId="16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7" fillId="9" borderId="16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7" fillId="9" borderId="16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5" fillId="0" borderId="17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0" borderId="17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5" fillId="9" borderId="17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9" borderId="17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5" fillId="0" borderId="0" xfId="1" applyNumberFormat="1" applyFont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0" borderId="0" xfId="1" applyNumberFormat="1" applyFont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5" fillId="9" borderId="0" xfId="1" applyNumberFormat="1" applyFont="1" applyFill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9" borderId="0" xfId="1" applyNumberFormat="1" applyFont="1" applyFill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5" fillId="0" borderId="18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0" borderId="18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5" fillId="9" borderId="18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9" borderId="18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10" borderId="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10" borderId="1" xfId="1" applyNumberFormat="1" applyFont="1" applyFill="1" applyBorder="1" applyAlignment="1">
          <x:alignment horizontal="center" vertical="center" wrapText="1"/>
        </x:xf>
      </mc:Fallback>
    </mc:AlternateContent>
    <x:xf numFmtId="0" fontId="18" fillId="10" borderId="1" xfId="1" applyNumberFormat="1" applyFont="1" applyFill="1" applyBorder="1" applyAlignment="1">
      <x:alignment horizontal="general" vertical="center" wrapText="1"/>
    </x:xf>
    <x:xf numFmtId="0" fontId="18" fillId="11" borderId="1" xfId="1" applyNumberFormat="1" applyFont="1" applyFill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0" fontId="18" fillId="11" borderId="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11" borderId="1" xfId="1" applyNumberFormat="1" applyFont="1" applyFill="1" applyBorder="1" applyAlignment="1">
          <x:alignment horizontal="center" vertical="center" wrapText="1"/>
        </x:xf>
      </mc:Fallback>
    </mc:AlternateContent>
    <x:xf numFmtId="166" fontId="10" fillId="0" borderId="7" xfId="0" applyNumberFormat="1" applyFont="1" applyBorder="1" applyAlignment="1">
      <x:alignment horizontal="general" vertical="center" shrinkToFit="1"/>
    </x:xf>
    <mc:AlternateContent xmlns:mc="http://schemas.openxmlformats.org/markup-compatibility/2006">
      <mc:Choice xmlns:hs="http://schemas.haansoft.com/office/spreadsheet/8.0" Requires="hs">
        <x:xf numFmtId="41" fontId="0" fillId="0" borderId="1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0" fillId="0" borderId="1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11" borderId="12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11" borderId="12" xfId="1" applyNumberFormat="1" applyFont="1" applyFill="1" applyBorder="1" applyAlignment="1">
          <x:alignment horizontal="center" vertical="center" wrapText="1"/>
        </x:xf>
      </mc:Fallback>
    </mc:AlternateContent>
    <x:xf numFmtId="0" fontId="18" fillId="11" borderId="5" xfId="1" applyNumberFormat="1" applyFont="1" applyFill="1" applyBorder="1" applyAlignment="1">
      <x:alignment horizontal="general" vertical="center" wrapText="1"/>
    </x:xf>
    <x:xf numFmtId="0" fontId="18" fillId="11" borderId="19" xfId="1" applyNumberFormat="1" applyFont="1" applyFill="1" applyBorder="1" applyAlignment="1">
      <x:alignment horizontal="general" vertical="center" wrapText="1"/>
    </x:xf>
    <x:xf numFmtId="0" fontId="18" fillId="11" borderId="13" xfId="1" applyNumberFormat="1" applyFont="1" applyFill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166" fontId="16" fillId="0" borderId="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6" fillId="0" borderId="1" xfId="1" applyNumberFormat="1" applyFont="1" applyBorder="1" applyAlignment="1">
          <x:alignment horizontal="center" vertical="center" wrapText="1"/>
        </x:xf>
      </mc:Fallback>
    </mc:AlternateContent>
    <x:xf numFmtId="14" fontId="16" fillId="0" borderId="1" xfId="0" applyNumberFormat="1" applyFon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16" fillId="0" borderId="0" xfId="1" applyNumberFormat="1" applyFont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0" xfId="1" applyNumberFormat="1" applyFont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20" xfId="1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20" xfId="1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0" borderId="21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21" xfId="1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0" borderId="22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22" xfId="1" applyNumberFormat="1" applyFont="1" applyBorder="1" applyAlignment="1">
          <x:alignment horizontal="center" vertical="center"/>
        </x:xf>
      </mc:Fallback>
    </mc:AlternateContent>
    <x:xf numFmtId="0" fontId="16" fillId="0" borderId="23" xfId="1" applyNumberFormat="1" applyFont="1" applyBorder="1">
      <x:alignment horizontal="general" vertical="center"/>
    </x:xf>
    <x:xf numFmtId="0" fontId="16" fillId="0" borderId="5" xfId="1" applyNumberFormat="1" applyFont="1" applyBorder="1">
      <x:alignment horizontal="general" vertical="center"/>
    </x:xf>
    <x:xf numFmtId="0" fontId="16" fillId="0" borderId="8" xfId="1" applyNumberFormat="1" applyFont="1" applyBorder="1">
      <x:alignment horizontal="general" vertical="center"/>
    </x:xf>
    <x:xf numFmtId="0" fontId="16" fillId="0" borderId="24" xfId="1" applyNumberFormat="1" applyFon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16" fillId="0" borderId="25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25" xfId="1" applyNumberFormat="1" applyFont="1" applyBorder="1" applyAlignment="1">
          <x:alignment horizontal="center" vertical="center"/>
        </x:xf>
      </mc:Fallback>
    </mc:AlternateContent>
    <x:xf numFmtId="0" fontId="16" fillId="0" borderId="0" xfId="1" applyNumberFormat="1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6" fillId="0" borderId="0" xfId="1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0" xfId="1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10" borderId="0" xfId="1" applyNumberFormat="1" applyFont="1" applyFill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10" borderId="0" xfId="1" applyNumberFormat="1" applyFont="1" applyFill="1" applyAlignment="1">
          <x:alignment horizontal="center" vertical="center" wrapText="1"/>
        </x:xf>
      </mc:Fallback>
    </mc:AlternateContent>
    <x:xf numFmtId="0" fontId="18" fillId="10" borderId="0" xfId="1" applyNumberFormat="1" applyFont="1" applyFill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172" fontId="18" fillId="0" borderId="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1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26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26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27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27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12" xfId="1" applyNumberFormat="1" applyFont="1" applyBorder="1" applyAlignment="1" hs:applyExtension="1">
          <x:alignment horizontal="justify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12" xfId="1" applyNumberFormat="1" applyFont="1" applyBorder="1" applyAlignment="1">
          <x:alignment horizontal="justify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12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12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13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13" xfId="1" applyNumberFormat="1" applyFont="1" applyBorder="1" applyAlignment="1">
          <x:alignment horizontal="center" vertical="center" wrapText="1"/>
        </x:xf>
      </mc:Fallback>
    </mc:AlternateContent>
    <x:xf numFmtId="172" fontId="18" fillId="11" borderId="21" xfId="1" applyNumberFormat="1" applyFont="1" applyFill="1" applyBorder="1" applyAlignment="1">
      <x:alignment horizontal="general" vertical="center" wrapText="1"/>
    </x:xf>
    <x:xf numFmtId="172" fontId="18" fillId="10" borderId="21" xfId="1" applyNumberFormat="1" applyFont="1" applyFill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168" fontId="16" fillId="0" borderId="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16" fillId="0" borderId="1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8" fillId="10" borderId="0" xfId="1" applyNumberFormat="1" applyFont="1" applyFill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8" fillId="10" borderId="0" xfId="1" applyNumberFormat="1" applyFont="1" applyFill="1" applyAlignment="1">
          <x:alignment horizontal="center" vertical="center" wrapText="1"/>
        </x:xf>
      </mc:Fallback>
    </mc:AlternateContent>
    <x:xf numFmtId="164" fontId="18" fillId="10" borderId="0" xfId="1" applyNumberFormat="1" applyFont="1" applyFill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0" fontId="19" fillId="0" borderId="28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0" borderId="28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0" borderId="29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0" borderId="29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0" borderId="29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0" borderId="29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0" borderId="30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0" borderId="30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0" borderId="29" xfId="0" applyNumberFormat="1" applyFont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0" borderId="29" xfId="0" applyNumberFormat="1" applyFont="1" applyBorder="1" applyAlignment="1">
          <x:alignment horizontal="right" vertical="center"/>
        </x:xf>
      </mc:Fallback>
    </mc:AlternateContent>
    <x:xf numFmtId="49" fontId="20" fillId="0" borderId="30" xfId="0" applyNumberFormat="1" applyFont="1" applyBorder="1">
      <x:alignment horizontal="general" vertical="center"/>
    </x:xf>
    <x:xf numFmtId="49" fontId="19" fillId="0" borderId="30" xfId="0" applyNumberFormat="1" applyFont="1" applyBorder="1">
      <x:alignment horizontal="general" vertical="center"/>
    </x:xf>
    <x:xf numFmtId="0" fontId="0" fillId="0" borderId="15" xfId="0" applyNumberForma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49" fontId="0" fillId="0" borderId="0" xfId="0" applyNumberForma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9" fontId="0" fillId="0" borderId="0" xfId="0" applyNumberForma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6" fillId="0" borderId="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6" fillId="0" borderId="1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6" fillId="0" borderId="0" xfId="1" applyNumberFormat="1" applyFont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6" fillId="0" borderId="0" xfId="1" applyNumberFormat="1" applyFont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3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31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24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24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32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32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33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33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34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34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35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35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6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6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6" fillId="0" borderId="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6" fillId="0" borderId="1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33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33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34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34" xfId="1" applyNumberFormat="1" applyFont="1" applyBorder="1" applyAlignment="1">
          <x:alignment horizontal="center" vertical="center" wrapText="1"/>
        </x:xf>
      </mc:Fallback>
    </mc:AlternateContent>
    <x:xf numFmtId="0" fontId="16" fillId="0" borderId="2" xfId="1" applyNumberFormat="1" applyFont="1" applyBorder="1" applyAlignment="1">
      <x:alignment horizontal="left" vertical="center"/>
    </x:xf>
    <x:xf numFmtId="0" fontId="16" fillId="0" borderId="2" xfId="1" applyNumberFormat="1" applyFon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16" fillId="0" borderId="2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2" xfId="1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1" applyNumberForma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1" applyNumberForma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0" fillId="0" borderId="1" xfId="1" applyNumberForma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0" fillId="0" borderId="1" xfId="1" applyNumberForma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0" fillId="0" borderId="1" xfId="1" applyNumberForma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0" fillId="0" borderId="1" xfId="1" applyNumberForma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7" borderId="1" xfId="1" applyNumberForma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7" borderId="1" xfId="1" applyNumberFormat="1" applyFill="1" applyBorder="1" applyAlignment="1">
          <x:alignment horizontal="center" vertical="center" wrapText="1"/>
        </x:xf>
      </mc:Fallback>
    </mc:AlternateContent>
    <x:xf numFmtId="0" fontId="0" fillId="0" borderId="1" xfId="1" applyNumberFormat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172" fontId="0" fillId="0" borderId="1" xfId="1" applyNumberForma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0" fillId="0" borderId="1" xfId="1" applyNumberForma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5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5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19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19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58" fontId="13" fillId="0" borderId="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58" fontId="13" fillId="0" borderId="1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3" fillId="0" borderId="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3" fillId="0" borderId="1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3" fillId="6" borderId="1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3" fillId="6" borderId="1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3" fillId="0" borderId="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3" fillId="0" borderId="1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1" fontId="13" fillId="0" borderId="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1" fontId="13" fillId="0" borderId="1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3" fillId="0" borderId="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3" fillId="0" borderId="1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21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21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21" fillId="0" borderId="0" xfId="0" applyNumberFormat="1" applyFont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21" fillId="0" borderId="0" xfId="0" applyNumberFormat="1" applyFont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0" fillId="0" borderId="0" xfId="0" applyNumberFormat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0" fillId="0" borderId="0" xfId="0" applyNumberFormat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Alignment="1" hs:applyExtension="1">
          <x:alignment horizontal="center" vertical="bottom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Alignment="1">
          <x:alignment horizontal="center" vertical="bottom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0" fillId="0" borderId="1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0" fillId="0" borderId="1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36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36" xfId="1" applyNumberFormat="1" applyFont="1" applyBorder="1" applyAlignment="1">
          <x:alignment horizontal="center" vertical="center" wrapText="1"/>
        </x:xf>
      </mc:Fallback>
    </mc:AlternateContent>
    <x:xf numFmtId="0" fontId="13" fillId="6" borderId="11" xfId="0" applyNumberFormat="1" applyFont="1" applyFill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172" fontId="16" fillId="0" borderId="0" xfId="1" applyNumberFormat="1" applyFont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6" fillId="0" borderId="0" xfId="1" applyNumberFormat="1" applyFont="1" applyAlignment="1">
          <x:alignment horizontal="center" vertical="center" wrapText="1"/>
        </x:xf>
      </mc:Fallback>
    </mc:AlternateContent>
    <x:xf numFmtId="173" fontId="0" fillId="0" borderId="0" xfId="0" applyNumberForma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1" fontId="13" fillId="6" borderId="1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1" fontId="13" fillId="6" borderId="1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3" fillId="6" borderId="1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3" fillId="6" borderId="1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1" fontId="13" fillId="6" borderId="11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1" fontId="13" fillId="6" borderId="11" xfId="0" applyNumberFormat="1" applyFont="1" applyFill="1" applyBorder="1" applyAlignment="1">
          <x:alignment horizontal="center" vertical="center" wrapText="1"/>
        </x:xf>
      </mc:Fallback>
    </mc:AlternateContent>
    <x:xf numFmtId="0" fontId="18" fillId="0" borderId="0" xfId="0" applyNumberFormat="1" applyFo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18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0" xfId="0" applyNumberFormat="1" applyFont="1" applyAlignment="1">
          <x:alignment horizontal="center" vertical="center"/>
        </x:xf>
      </mc:Fallback>
    </mc:AlternateContent>
    <x:xf numFmtId="166" fontId="18" fillId="0" borderId="0" xfId="0" applyNumberFormat="1" applyFont="1">
      <x:alignment horizontal="general" vertical="center"/>
    </x:xf>
    <x:xf numFmtId="171" fontId="18" fillId="0" borderId="0" xfId="0" applyNumberFormat="1" applyFont="1">
      <x:alignment horizontal="general" vertical="center"/>
    </x:xf>
    <x:xf numFmtId="164" fontId="18" fillId="0" borderId="0" xfId="0" applyNumberFormat="1" applyFont="1">
      <x:alignment horizontal="general" vertical="center"/>
    </x:xf>
    <x:xf numFmtId="164" fontId="18" fillId="0" borderId="1" xfId="0" applyNumberFormat="1" applyFont="1" applyBorder="1">
      <x:alignment horizontal="general" vertical="center"/>
    </x:xf>
    <x:xf numFmtId="0" fontId="18" fillId="0" borderId="1" xfId="0" applyNumberFormat="1" applyFon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2" fontId="18" fillId="0" borderId="2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26" xfId="0" applyNumberFormat="1" applyFont="1" applyBorder="1" applyAlignment="1">
          <x:alignment horizontal="center" vertical="center"/>
        </x:xf>
      </mc:Fallback>
    </mc:AlternateContent>
    <x:xf numFmtId="172" fontId="18" fillId="0" borderId="25" xfId="0" applyNumberFormat="1" applyFon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2" fontId="18" fillId="10" borderId="23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23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1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1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23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23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1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11" xfId="0" applyNumberFormat="1" applyFont="1" applyBorder="1" applyAlignment="1">
          <x:alignment horizontal="center" vertical="center"/>
        </x:xf>
      </mc:Fallback>
    </mc:AlternateContent>
    <x:xf numFmtId="172" fontId="18" fillId="0" borderId="23" xfId="0" applyNumberFormat="1" applyFon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2" fontId="18" fillId="0" borderId="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6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37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37" xfId="0" applyNumberFormat="1" applyFont="1" applyBorder="1" applyAlignment="1">
          <x:alignment horizontal="center" vertical="center"/>
        </x:xf>
      </mc:Fallback>
    </mc:AlternateContent>
    <x:xf numFmtId="172" fontId="18" fillId="0" borderId="6" xfId="0" applyNumberFormat="1" applyFon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2" fontId="18" fillId="12" borderId="23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2" borderId="23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2" borderId="1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2" borderId="1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24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24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3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32" xfId="0" applyNumberFormat="1" applyFont="1" applyBorder="1" applyAlignment="1">
          <x:alignment horizontal="center" vertical="center"/>
        </x:xf>
      </mc:Fallback>
    </mc:AlternateContent>
    <x:xf numFmtId="172" fontId="18" fillId="0" borderId="24" xfId="0" applyNumberFormat="1" applyFon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3" fontId="18" fillId="0" borderId="2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20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2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21" xfId="0" applyNumberFormat="1" applyFont="1" applyBorder="1" applyAlignment="1">
          <x:alignment horizontal="center" vertical="center"/>
        </x:xf>
      </mc:Fallback>
    </mc:AlternateContent>
    <x:xf numFmtId="172" fontId="18" fillId="0" borderId="5" xfId="0" applyNumberFormat="1" applyFon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3" fontId="18" fillId="0" borderId="2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22" xfId="0" applyNumberFormat="1" applyFont="1" applyBorder="1" applyAlignment="1">
          <x:alignment horizontal="center" vertical="center"/>
        </x:xf>
      </mc:Fallback>
    </mc:AlternateContent>
    <x:xf numFmtId="172" fontId="18" fillId="12" borderId="26" xfId="0" applyNumberFormat="1" applyFont="1" applyFill="1" applyBorder="1">
      <x:alignment horizontal="general" vertical="center"/>
    </x:xf>
    <x:xf numFmtId="172" fontId="18" fillId="12" borderId="25" xfId="0" applyNumberFormat="1" applyFont="1" applyFill="1" applyBorder="1">
      <x:alignment horizontal="general" vertical="center"/>
    </x:xf>
    <x:xf numFmtId="172" fontId="18" fillId="12" borderId="1" xfId="0" applyNumberFormat="1" applyFont="1" applyFill="1" applyBorder="1">
      <x:alignment horizontal="general" vertical="center"/>
    </x:xf>
    <x:xf numFmtId="172" fontId="18" fillId="12" borderId="23" xfId="0" applyNumberFormat="1" applyFont="1" applyFill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3" fontId="18" fillId="0" borderId="38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38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2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26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1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1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3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32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27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27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27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27" xfId="0" applyNumberFormat="1" applyFont="1" applyBorder="1" applyAlignment="1">
          <x:alignment horizontal="center" vertical="center"/>
        </x:xf>
      </mc:Fallback>
    </mc:AlternateContent>
    <x:xf numFmtId="176" fontId="18" fillId="0" borderId="39" xfId="0" applyNumberFormat="1" applyFont="1" applyBorder="1">
      <x:alignment horizontal="general" vertical="center"/>
    </x:xf>
    <x:xf numFmtId="176" fontId="18" fillId="0" borderId="26" xfId="0" applyNumberFormat="1" applyFont="1" applyBorder="1">
      <x:alignment horizontal="general" vertical="center"/>
    </x:xf>
    <x:xf numFmtId="176" fontId="18" fillId="0" borderId="20" xfId="0" applyNumberFormat="1" applyFont="1" applyBorder="1">
      <x:alignment horizontal="general" vertical="center"/>
    </x:xf>
    <x:xf numFmtId="176" fontId="18" fillId="0" borderId="40" xfId="0" applyNumberFormat="1" applyFont="1" applyBorder="1">
      <x:alignment horizontal="general" vertical="center"/>
    </x:xf>
    <x:xf numFmtId="176" fontId="18" fillId="0" borderId="1" xfId="0" applyNumberFormat="1" applyFont="1" applyBorder="1">
      <x:alignment horizontal="general" vertical="center"/>
    </x:xf>
    <x:xf numFmtId="176" fontId="18" fillId="0" borderId="21" xfId="0" applyNumberFormat="1" applyFont="1" applyBorder="1">
      <x:alignment horizontal="general" vertical="center"/>
    </x:xf>
    <x:xf numFmtId="176" fontId="18" fillId="0" borderId="41" xfId="0" applyNumberFormat="1" applyFont="1" applyBorder="1">
      <x:alignment horizontal="general" vertical="center"/>
    </x:xf>
    <x:xf numFmtId="176" fontId="18" fillId="0" borderId="27" xfId="0" applyNumberFormat="1" applyFont="1" applyBorder="1">
      <x:alignment horizontal="general" vertical="center"/>
    </x:xf>
    <x:xf numFmtId="176" fontId="18" fillId="0" borderId="22" xfId="0" applyNumberFormat="1" applyFont="1" applyBorder="1">
      <x:alignment horizontal="general" vertical="center"/>
    </x:xf>
    <x:xf numFmtId="172" fontId="18" fillId="0" borderId="0" xfId="0" applyNumberFormat="1" applyFo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2" fontId="18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0" xfId="0" applyNumberFormat="1" applyFont="1" applyAlignment="1">
          <x:alignment horizontal="center" vertical="center"/>
        </x:xf>
      </mc:Fallback>
    </mc:AlternateContent>
    <x:xf numFmtId="0" fontId="18" fillId="13" borderId="42" xfId="0" applyNumberFormat="1" applyFont="1" applyFill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2" fontId="18" fillId="13" borderId="43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3" borderId="43" xfId="0" applyNumberFormat="1" applyFont="1" applyFill="1" applyBorder="1" applyAlignment="1">
          <x:alignment horizontal="center" vertical="center" wrapText="1"/>
        </x:xf>
      </mc:Fallback>
    </mc:AlternateContent>
    <x:xf numFmtId="172" fontId="18" fillId="0" borderId="0" xfId="0" applyNumberFormat="1" applyFont="1" applyAlignment="1">
      <x:alignment horizontal="general" vertical="center" wrapText="1"/>
    </x:xf>
    <x:xf numFmtId="178" fontId="18" fillId="0" borderId="0" xfId="0" applyNumberFormat="1" applyFo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13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3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7" fontId="18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7" fontId="18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44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44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45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45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4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46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47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47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48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48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49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49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50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50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8" fillId="0" borderId="23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8" fillId="0" borderId="23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8" fillId="0" borderId="1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8" fillId="0" borderId="1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5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51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38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38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5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52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1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12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53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53" xfId="0" applyNumberFormat="1" applyFont="1" applyBorder="1" applyAlignment="1">
          <x:alignment horizontal="center" vertical="center"/>
        </x:xf>
      </mc:Fallback>
    </mc:AlternateContent>
    <x:xf numFmtId="172" fontId="18" fillId="10" borderId="54" xfId="1" applyNumberFormat="1" applyFont="1" applyFill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172" fontId="18" fillId="0" borderId="55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55" xfId="1" applyNumberFormat="1" applyFont="1" applyBorder="1" applyAlignment="1">
          <x:alignment horizontal="center" vertical="center" wrapText="1"/>
        </x:xf>
      </mc:Fallback>
    </mc:AlternateContent>
    <x:xf numFmtId="173" fontId="18" fillId="0" borderId="40" xfId="0" applyNumberFormat="1" applyFont="1" applyBorder="1">
      <x:alignment horizontal="general" vertical="center"/>
    </x:xf>
    <x:xf numFmtId="173" fontId="18" fillId="0" borderId="1" xfId="0" applyNumberFormat="1" applyFont="1" applyBorder="1">
      <x:alignment horizontal="general" vertical="center"/>
    </x:xf>
    <x:xf numFmtId="173" fontId="18" fillId="0" borderId="21" xfId="0" applyNumberFormat="1" applyFon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3" fontId="18" fillId="0" borderId="39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39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4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40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1" fontId="18" fillId="0" borderId="5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1" fontId="18" fillId="0" borderId="52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1" fontId="18" fillId="0" borderId="1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1" fontId="18" fillId="0" borderId="12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1" fontId="18" fillId="0" borderId="53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1" fontId="18" fillId="0" borderId="53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1" fontId="18" fillId="0" borderId="4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1" fontId="18" fillId="0" borderId="40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1" fontId="18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1" fontId="18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1" fontId="18" fillId="0" borderId="2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1" fontId="18" fillId="0" borderId="2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1" fontId="18" fillId="0" borderId="5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1" fontId="18" fillId="0" borderId="56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1" fontId="18" fillId="0" borderId="13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1" fontId="18" fillId="0" borderId="13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1" fontId="18" fillId="0" borderId="54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1" fontId="18" fillId="0" borderId="54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8" fillId="0" borderId="39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8" fillId="0" borderId="39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8" fillId="0" borderId="2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8" fillId="0" borderId="26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8" fillId="0" borderId="2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8" fillId="0" borderId="20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8" fillId="0" borderId="4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8" fillId="0" borderId="40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8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8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8" fillId="0" borderId="5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8" fillId="0" borderId="56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8" fillId="0" borderId="13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8" fillId="0" borderId="13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8" fillId="0" borderId="5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8" fillId="0" borderId="5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5" fontId="18" fillId="0" borderId="40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5" fontId="18" fillId="0" borderId="40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5" fontId="18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5" fontId="18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5" fontId="18" fillId="0" borderId="4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5" fontId="18" fillId="0" borderId="41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5" fontId="18" fillId="0" borderId="27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5" fontId="18" fillId="0" borderId="27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5" fontId="18" fillId="0" borderId="37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5" fontId="18" fillId="0" borderId="37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5" fontId="18" fillId="0" borderId="3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5" fontId="18" fillId="0" borderId="3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5" fontId="18" fillId="0" borderId="57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5" fontId="18" fillId="0" borderId="57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8" fillId="0" borderId="38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8" fillId="0" borderId="38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8" fillId="0" borderId="2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8" fillId="0" borderId="2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8" fillId="0" borderId="58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8" fillId="0" borderId="58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8" fillId="0" borderId="1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8" fillId="0" borderId="12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8" fillId="0" borderId="53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8" fillId="0" borderId="53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2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2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2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22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1" fontId="18" fillId="0" borderId="2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1" fontId="18" fillId="0" borderId="20" xfId="0" applyNumberFormat="1" applyFont="1" applyBorder="1" applyAlignment="1">
          <x:alignment horizontal="center" vertical="center"/>
        </x:xf>
      </mc:Fallback>
    </mc:AlternateContent>
    <x:xf numFmtId="172" fontId="18" fillId="0" borderId="8" xfId="0" applyNumberFormat="1" applyFont="1" applyBorder="1">
      <x:alignment horizontal="general" vertical="center"/>
    </x:xf>
    <x:xf numFmtId="172" fontId="18" fillId="0" borderId="35" xfId="1" applyNumberFormat="1" applyFont="1" applyBorder="1" applyAlignment="1">
      <x:alignment horizontal="general" vertical="center" wrapText="1"/>
    </x:xf>
    <x:xf numFmtId="172" fontId="18" fillId="0" borderId="34" xfId="1" applyNumberFormat="1" applyFont="1" applyBorder="1" applyAlignment="1">
      <x:alignment horizontal="general" vertical="center" wrapText="1"/>
    </x:xf>
    <x:xf numFmtId="172" fontId="18" fillId="0" borderId="59" xfId="0" applyNumberFormat="1" applyFont="1" applyBorder="1">
      <x:alignment horizontal="general" vertical="center"/>
    </x:xf>
    <x:xf numFmtId="0" fontId="0" fillId="0" borderId="0" xfId="2" applyNumberForma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64" fontId="0" fillId="0" borderId="0" xfId="0" applyNumberFormat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0" fillId="0" borderId="0" xfId="0" applyNumberFormat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0" fillId="0" borderId="0" xfId="0" applyNumberFormat="1" applyFont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0" fillId="0" borderId="0" xfId="0" applyNumberFormat="1" applyFont="1" applyAlignment="1">
          <x:alignment horizontal="center" vertical="center" shrinkToFit="1"/>
        </x:xf>
      </mc:Fallback>
    </mc:AlternateContent>
    <x:xf numFmtId="170" fontId="0" fillId="0" borderId="0" xfId="0" applyNumberFormat="1" applyAlignment="1">
      <x:alignment horizontal="general" vertical="center" shrinkToFit="1"/>
    </x:xf>
    <x:xf numFmtId="166" fontId="11" fillId="0" borderId="0" xfId="0" applyNumberFormat="1" applyFont="1" applyAlignment="1">
      <x:alignment horizontal="general" vertical="center" shrinkToFit="1"/>
    </x:xf>
    <x:xf numFmtId="0" fontId="10" fillId="0" borderId="0" xfId="0" applyNumberFormat="1" applyFont="1" applyAlignment="1">
      <x:alignment horizontal="general" vertical="center" shrinkToFit="1"/>
    </x:xf>
    <x:xf numFmtId="0" fontId="0" fillId="0" borderId="14" xfId="0" applyNumberFormat="1" applyBorder="1">
      <x:alignment horizontal="general" vertical="center"/>
    </x:xf>
    <x:xf numFmtId="170" fontId="0" fillId="0" borderId="15" xfId="0" applyNumberFormat="1" applyBorder="1" applyAlignment="1">
      <x:alignment horizontal="general" vertical="center" shrinkToFit="1"/>
    </x:xf>
    <x:xf numFmtId="166" fontId="11" fillId="0" borderId="15" xfId="0" applyNumberFormat="1" applyFont="1" applyBorder="1" applyAlignment="1">
      <x:alignment horizontal="general" vertical="center" shrinkToFit="1"/>
    </x:xf>
    <mc:AlternateContent xmlns:mc="http://schemas.openxmlformats.org/markup-compatibility/2006">
      <mc:Choice xmlns:hs="http://schemas.haansoft.com/office/spreadsheet/8.0" Requires="hs">
        <x:xf numFmtId="0" fontId="10" fillId="0" borderId="15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15" xfId="0" applyNumberFormat="1" applyFont="1" applyBorder="1" applyAlignment="1">
          <x:alignment horizontal="center" vertical="center" shrinkToFit="1"/>
        </x:xf>
      </mc:Fallback>
    </mc:AlternateContent>
    <x:xf numFmtId="166" fontId="10" fillId="0" borderId="15" xfId="0" applyNumberFormat="1" applyFont="1" applyBorder="1" applyAlignment="1">
      <x:alignment horizontal="general" vertical="center" shrinkToFit="1"/>
    </x:xf>
    <x:xf numFmtId="0" fontId="10" fillId="0" borderId="15" xfId="0" applyNumberFormat="1" applyFont="1" applyBorder="1" applyAlignment="1">
      <x:alignment horizontal="general" vertical="center" shrinkToFit="1"/>
    </x:xf>
    <x:xf numFmtId="0" fontId="0" fillId="0" borderId="60" xfId="0" applyNumberFormat="1" applyBorder="1">
      <x:alignment horizontal="general" vertical="center"/>
    </x:xf>
    <x:xf numFmtId="0" fontId="0" fillId="0" borderId="34" xfId="0" applyNumberFormat="1" applyBorder="1">
      <x:alignment horizontal="general" vertical="center"/>
    </x:xf>
    <x:xf numFmtId="0" fontId="0" fillId="0" borderId="61" xfId="0" applyNumberFormat="1" applyBorder="1">
      <x:alignment horizontal="general" vertical="center"/>
    </x:xf>
    <x:xf numFmtId="170" fontId="0" fillId="0" borderId="2" xfId="0" applyNumberFormat="1" applyBorder="1" applyAlignment="1">
      <x:alignment horizontal="general" vertical="center" shrinkToFit="1"/>
    </x:xf>
    <x:xf numFmtId="166" fontId="11" fillId="0" borderId="2" xfId="0" applyNumberFormat="1" applyFont="1" applyBorder="1" applyAlignment="1">
      <x:alignment horizontal="general" vertical="center" shrinkToFit="1"/>
    </x:xf>
    <x:xf numFmtId="0" fontId="10" fillId="0" borderId="2" xfId="0" applyNumberFormat="1" applyFont="1" applyBorder="1" applyAlignment="1">
      <x:alignment horizontal="general" vertical="center" shrinkToFit="1"/>
    </x:xf>
    <x:xf numFmtId="0" fontId="0" fillId="0" borderId="2" xfId="0" applyNumberFormat="1" applyBorder="1">
      <x:alignment horizontal="general" vertical="center"/>
    </x:xf>
    <x:xf numFmtId="0" fontId="0" fillId="0" borderId="35" xfId="0" applyNumberFormat="1" applyBorder="1">
      <x:alignment horizontal="general" vertical="center"/>
    </x:xf>
    <x:xf numFmtId="170" fontId="0" fillId="0" borderId="14" xfId="0" applyNumberFormat="1" applyBorder="1" applyAlignment="1">
      <x:alignment horizontal="general" vertical="center" shrinkToFit="1"/>
    </x:xf>
    <x:xf numFmtId="166" fontId="11" fillId="0" borderId="14" xfId="0" applyNumberFormat="1" applyFont="1" applyBorder="1" applyAlignment="1">
      <x:alignment horizontal="general" vertical="center" shrinkToFit="1"/>
    </x:xf>
    <x:xf numFmtId="0" fontId="10" fillId="0" borderId="14" xfId="0" applyNumberFormat="1" applyFont="1" applyBorder="1" applyAlignment="1">
      <x:alignment horizontal="general" vertical="center" shrinkToFit="1"/>
    </x:xf>
    <mc:AlternateContent xmlns:mc="http://schemas.openxmlformats.org/markup-compatibility/2006">
      <mc:Choice xmlns:hs="http://schemas.haansoft.com/office/spreadsheet/8.0" Requires="hs">
        <x:xf numFmtId="172" fontId="18" fillId="0" borderId="6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61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40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40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4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4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27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27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2" borderId="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2" borderId="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2" borderId="27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2" borderId="27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7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7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0" xfId="1" applyNumberFormat="1" applyFont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0" xfId="1" applyNumberFormat="1" applyFont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2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2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2" borderId="26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2" borderId="26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0" borderId="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0" borderId="1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0" borderId="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1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59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59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57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57" xfId="0" applyNumberFormat="1" applyFont="1" applyBorder="1" applyAlignment="1">
          <x:alignment horizontal="center" vertical="center"/>
        </x:xf>
      </mc:Fallback>
    </mc:AlternateContent>
    <x:xf numFmtId="172" fontId="18" fillId="10" borderId="34" xfId="1" applyNumberFormat="1" applyFont="1" applyFill="1" applyBorder="1" applyAlignment="1">
      <x:alignment horizontal="general" vertical="center" wrapText="1"/>
    </x:xf>
    <x:xf numFmtId="172" fontId="18" fillId="14" borderId="1" xfId="1" applyNumberFormat="1" applyFont="1" applyFill="1" applyBorder="1" applyAlignment="1">
      <x:alignment horizontal="general" vertical="center" wrapText="1"/>
    </x:xf>
    <x:xf numFmtId="172" fontId="18" fillId="0" borderId="47" xfId="1" applyNumberFormat="1" applyFont="1" applyBorder="1" applyAlignment="1">
      <x:alignment horizontal="general" vertical="center" wrapText="1"/>
    </x:xf>
    <x:xf numFmtId="172" fontId="18" fillId="0" borderId="48" xfId="1" applyNumberFormat="1" applyFont="1" applyBorder="1" applyAlignment="1">
      <x:alignment horizontal="general" vertical="center" wrapText="1"/>
    </x:xf>
    <x:xf numFmtId="172" fontId="18" fillId="0" borderId="49" xfId="1" applyNumberFormat="1" applyFont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172" fontId="18" fillId="11" borderId="33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1" borderId="33" xfId="1" applyNumberFormat="1" applyFont="1" applyFill="1" applyBorder="1" applyAlignment="1">
          <x:alignment horizontal="center" vertical="center" wrapText="1"/>
        </x:xf>
      </mc:Fallback>
    </mc:AlternateContent>
    <x:xf numFmtId="172" fontId="18" fillId="11" borderId="61" xfId="1" applyNumberFormat="1" applyFont="1" applyFill="1" applyBorder="1" applyAlignment="1">
      <x:alignment horizontal="general" vertical="center" wrapText="1"/>
    </x:xf>
    <x:xf numFmtId="172" fontId="18" fillId="10" borderId="60" xfId="1" applyNumberFormat="1" applyFont="1" applyFill="1" applyBorder="1" applyAlignment="1">
      <x:alignment horizontal="general" vertical="center" wrapText="1"/>
    </x:xf>
    <x:xf numFmtId="172" fontId="18" fillId="12" borderId="59" xfId="0" applyNumberFormat="1" applyFont="1" applyFill="1" applyBorder="1">
      <x:alignment horizontal="general" vertical="center"/>
    </x:xf>
    <x:xf numFmtId="172" fontId="18" fillId="12" borderId="0" xfId="0" applyNumberFormat="1" applyFont="1" applyFill="1">
      <x:alignment horizontal="general" vertical="center"/>
    </x:xf>
    <x:xf numFmtId="172" fontId="18" fillId="0" borderId="43" xfId="0" applyNumberFormat="1" applyFont="1" applyBorder="1">
      <x:alignment horizontal="general" vertical="center"/>
    </x:xf>
    <x:xf numFmtId="172" fontId="18" fillId="0" borderId="7" xfId="0" applyNumberFormat="1" applyFont="1" applyBorder="1">
      <x:alignment horizontal="general" vertical="center"/>
    </x:xf>
    <x:xf numFmtId="172" fontId="18" fillId="0" borderId="10" xfId="0" applyNumberFormat="1" applyFont="1" applyBorder="1">
      <x:alignment horizontal="general" vertical="center"/>
    </x:xf>
    <x:xf numFmtId="172" fontId="18" fillId="14" borderId="27" xfId="1" applyNumberFormat="1" applyFont="1" applyFill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166" fontId="18" fillId="10" borderId="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8" fillId="10" borderId="1" xfId="1" applyNumberFormat="1" applyFont="1" applyFill="1" applyBorder="1" applyAlignment="1">
          <x:alignment horizontal="center" vertical="center" wrapText="1"/>
        </x:xf>
      </mc:Fallback>
    </mc:AlternateContent>
    <x:xf numFmtId="166" fontId="18" fillId="10" borderId="1" xfId="0" applyNumberFormat="1" applyFont="1" applyFill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66" fontId="18" fillId="10" borderId="27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8" fillId="10" borderId="27" xfId="1" applyNumberFormat="1" applyFont="1" applyFill="1" applyBorder="1" applyAlignment="1">
          <x:alignment horizontal="center" vertical="center" wrapText="1"/>
        </x:xf>
      </mc:Fallback>
    </mc:AlternateContent>
    <x:xf numFmtId="166" fontId="18" fillId="10" borderId="21" xfId="1" applyNumberFormat="1" applyFont="1" applyFill="1" applyBorder="1" applyAlignment="1">
      <x:alignment horizontal="general" vertical="center" wrapText="1"/>
    </x:xf>
    <x:xf numFmtId="166" fontId="18" fillId="10" borderId="22" xfId="1" applyNumberFormat="1" applyFont="1" applyFill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173" fontId="0" fillId="15" borderId="1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0" fillId="15" borderId="1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0" fillId="0" borderId="1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0" fillId="0" borderId="1" xfId="0" applyNumberFormat="1" applyBorder="1" applyAlignment="1">
          <x:alignment horizontal="center" vertical="center"/>
        </x:xf>
      </mc:Fallback>
    </mc:AlternateContent>
    <x:xf numFmtId="166" fontId="16" fillId="0" borderId="7" xfId="0" applyNumberFormat="1" applyFont="1" applyBorder="1" applyAlignment="1">
      <x:alignment horizontal="general" vertical="center" shrinkToFit="1"/>
    </x:xf>
    <mc:AlternateContent xmlns:mc="http://schemas.openxmlformats.org/markup-compatibility/2006">
      <mc:Choice xmlns:hs="http://schemas.haansoft.com/office/spreadsheet/8.0" Requires="hs">
        <x:xf numFmtId="166" fontId="16" fillId="0" borderId="7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6" fillId="0" borderId="7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22" fillId="0" borderId="7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22" fillId="0" borderId="7" xfId="0" applyNumberFormat="1" applyFont="1" applyBorder="1" applyAlignment="1">
          <x:alignment horizontal="center" vertical="center" shrinkToFit="1"/>
        </x:xf>
      </mc:Fallback>
    </mc:AlternateContent>
    <x:xf numFmtId="166" fontId="22" fillId="0" borderId="7" xfId="0" applyNumberFormat="1" applyFont="1" applyBorder="1" applyAlignment="1">
      <x:alignment horizontal="general" vertical="center" shrinkToFit="1"/>
    </x:xf>
    <mc:AlternateContent xmlns:mc="http://schemas.openxmlformats.org/markup-compatibility/2006">
      <mc:Choice xmlns:hs="http://schemas.haansoft.com/office/spreadsheet/8.0" Requires="hs">
        <x:xf numFmtId="168" fontId="0" fillId="0" borderId="0" xfId="0" applyNumberForma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0" fillId="0" borderId="0" xfId="0" applyNumberForma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0" fillId="0" borderId="1" xfId="1" applyNumberForma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0" fillId="0" borderId="1" xfId="1" applyNumberForma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0" fillId="12" borderId="1" xfId="1" applyNumberForma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0" fillId="12" borderId="1" xfId="1" applyNumberForma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0" fillId="7" borderId="1" xfId="1" applyNumberForma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0" fillId="7" borderId="1" xfId="1" applyNumberForma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16" fillId="0" borderId="0" xfId="1" applyNumberFormat="1" applyFont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16" fillId="0" borderId="0" xfId="1" applyNumberFormat="1" applyFont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16" fillId="0" borderId="0" xfId="1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16" fillId="0" borderId="0" xfId="1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6" borderId="12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6" borderId="12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6" borderId="26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6" borderId="26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6" borderId="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6" borderId="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1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12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3" borderId="47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3" borderId="47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0" xfId="0" applyNumberFormat="1" applyFont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0" xfId="0" applyNumberFormat="1" applyFont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4" fontId="18" fillId="0" borderId="34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4" fontId="18" fillId="0" borderId="34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13" borderId="43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13" borderId="43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4" fontId="18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4" fontId="18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37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37" xfId="1" applyNumberFormat="1" applyFont="1" applyBorder="1" applyAlignment="1">
          <x:alignment horizontal="center" vertical="center" wrapText="1"/>
        </x:xf>
      </mc:Fallback>
    </mc:AlternateContent>
    <x:xf numFmtId="172" fontId="18" fillId="0" borderId="62" xfId="1" applyNumberFormat="1" applyFont="1" applyBorder="1" applyAlignment="1">
      <x:alignment horizontal="general" vertical="center" wrapText="1"/>
    </x:xf>
    <x:xf numFmtId="172" fontId="18" fillId="0" borderId="57" xfId="1" applyNumberFormat="1" applyFont="1" applyBorder="1" applyAlignment="1">
      <x:alignment horizontal="general" vertical="center" wrapText="1"/>
    </x:xf>
    <x:xf numFmtId="172" fontId="18" fillId="0" borderId="63" xfId="1" applyNumberFormat="1" applyFont="1" applyBorder="1" applyAlignment="1">
      <x:alignment horizontal="general" vertical="center" wrapText="1"/>
    </x:xf>
    <x:xf numFmtId="173" fontId="18" fillId="0" borderId="62" xfId="1" applyNumberFormat="1" applyFont="1" applyBorder="1" applyAlignment="1">
      <x:alignment horizontal="general" vertical="center" wrapText="1"/>
    </x:xf>
    <x:xf numFmtId="173" fontId="18" fillId="0" borderId="57" xfId="1" applyNumberFormat="1" applyFont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172" fontId="18" fillId="13" borderId="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3" borderId="1" xfId="1" applyNumberFormat="1" applyFont="1" applyFill="1" applyBorder="1" applyAlignment="1">
          <x:alignment horizontal="center" vertical="center" wrapText="1"/>
        </x:xf>
      </mc:Fallback>
    </mc:AlternateContent>
    <x:xf numFmtId="172" fontId="18" fillId="13" borderId="57" xfId="1" applyNumberFormat="1" applyFont="1" applyFill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172" fontId="18" fillId="13" borderId="5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3" borderId="5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3" borderId="56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3" borderId="56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3" borderId="13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3" borderId="13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3" borderId="54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3" borderId="54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3" borderId="7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3" borderId="7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3" borderId="27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3" borderId="27" xfId="1" applyNumberFormat="1" applyFont="1" applyFill="1" applyBorder="1" applyAlignment="1">
          <x:alignment horizontal="center" vertical="center" wrapText="1"/>
        </x:xf>
      </mc:Fallback>
    </mc:AlternateContent>
    <x:xf numFmtId="172" fontId="18" fillId="13" borderId="63" xfId="1" applyNumberFormat="1" applyFont="1" applyFill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172" fontId="18" fillId="13" borderId="64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3" borderId="64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3" borderId="50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3" borderId="50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3" borderId="36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3" borderId="36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3" borderId="63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3" borderId="63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3" borderId="12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3" borderId="12" xfId="1" applyNumberFormat="1" applyFont="1" applyFill="1" applyBorder="1" applyAlignment="1">
          <x:alignment horizontal="center" vertical="center" wrapText="1"/>
        </x:xf>
      </mc:Fallback>
    </mc:AlternateContent>
    <x:xf numFmtId="173" fontId="18" fillId="13" borderId="57" xfId="1" applyNumberFormat="1" applyFont="1" applyFill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173" fontId="18" fillId="13" borderId="34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3" borderId="34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3" borderId="40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3" borderId="40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3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3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3" borderId="2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3" borderId="2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3" borderId="13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3" borderId="13" xfId="1" applyNumberFormat="1" applyFont="1" applyFill="1" applyBorder="1" applyAlignment="1">
          <x:alignment horizontal="center" vertical="center" wrapText="1"/>
        </x:xf>
      </mc:Fallback>
    </mc:AlternateContent>
    <x:xf numFmtId="173" fontId="18" fillId="13" borderId="63" xfId="1" applyNumberFormat="1" applyFont="1" applyFill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172" fontId="18" fillId="17" borderId="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7" borderId="1" xfId="1" applyNumberFormat="1" applyFont="1" applyFill="1" applyBorder="1" applyAlignment="1">
          <x:alignment horizontal="center" vertical="center" wrapText="1"/>
        </x:xf>
      </mc:Fallback>
    </mc:AlternateContent>
    <x:xf numFmtId="172" fontId="18" fillId="17" borderId="57" xfId="1" applyNumberFormat="1" applyFont="1" applyFill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172" fontId="18" fillId="17" borderId="5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7" borderId="5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7" borderId="40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7" borderId="40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7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7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7" borderId="2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7" borderId="21" xfId="0" applyNumberFormat="1" applyFont="1" applyFill="1" applyBorder="1" applyAlignment="1">
          <x:alignment horizontal="center" vertical="center"/>
        </x:xf>
      </mc:Fallback>
    </mc:AlternateContent>
    <x:xf numFmtId="0" fontId="18" fillId="17" borderId="0" xfId="0" applyNumberFormat="1" applyFont="1" applyFill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2" fontId="18" fillId="17" borderId="12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7" borderId="12" xfId="1" applyNumberFormat="1" applyFont="1" applyFill="1" applyBorder="1" applyAlignment="1">
          <x:alignment horizontal="center" vertical="center" wrapText="1"/>
        </x:xf>
      </mc:Fallback>
    </mc:AlternateContent>
    <x:xf numFmtId="173" fontId="18" fillId="17" borderId="57" xfId="1" applyNumberFormat="1" applyFont="1" applyFill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173" fontId="18" fillId="17" borderId="34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7" borderId="34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7" borderId="13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7" borderId="13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7" borderId="34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7" borderId="34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7" borderId="56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7" borderId="56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7" borderId="13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7" borderId="13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7" borderId="54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7" borderId="54" xfId="0" applyNumberFormat="1" applyFont="1" applyFill="1" applyBorder="1" applyAlignment="1">
          <x:alignment horizontal="center" vertical="center"/>
        </x:xf>
      </mc:Fallback>
    </mc:AlternateContent>
    <x:xf numFmtId="172" fontId="18" fillId="0" borderId="65" xfId="1" applyNumberFormat="1" applyFont="1" applyBorder="1" applyAlignment="1">
      <x:alignment horizontal="general" vertical="center" wrapText="1"/>
    </x:xf>
    <x:xf numFmtId="172" fontId="18" fillId="0" borderId="6" xfId="1" applyNumberFormat="1" applyFont="1" applyBorder="1" applyAlignment="1">
      <x:alignment horizontal="general" vertical="center" wrapText="1"/>
    </x:xf>
    <x:xf numFmtId="172" fontId="18" fillId="17" borderId="6" xfId="1" applyNumberFormat="1" applyFont="1" applyFill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172" fontId="18" fillId="17" borderId="0" xfId="1" applyNumberFormat="1" applyFont="1" applyFill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7" borderId="0" xfId="1" applyNumberFormat="1" applyFont="1" applyFill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8" borderId="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8" borderId="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8" borderId="12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8" borderId="12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8" borderId="13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8" borderId="13" xfId="1" applyNumberFormat="1" applyFont="1" applyFill="1" applyBorder="1" applyAlignment="1">
          <x:alignment horizontal="center" vertical="center" wrapText="1"/>
        </x:xf>
      </mc:Fallback>
    </mc:AlternateContent>
    <x:xf numFmtId="172" fontId="18" fillId="18" borderId="57" xfId="1" applyNumberFormat="1" applyFont="1" applyFill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172" fontId="18" fillId="18" borderId="34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8" borderId="34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8" borderId="40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8" borderId="40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8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8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8" borderId="2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8" borderId="21" xfId="0" applyNumberFormat="1" applyFont="1" applyFill="1" applyBorder="1" applyAlignment="1">
          <x:alignment horizontal="center" vertical="center"/>
        </x:xf>
      </mc:Fallback>
    </mc:AlternateContent>
    <x:xf numFmtId="0" fontId="18" fillId="18" borderId="0" xfId="0" applyNumberFormat="1" applyFont="1" applyFill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2" fontId="18" fillId="18" borderId="27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8" borderId="27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8" borderId="3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8" borderId="31" xfId="1" applyNumberFormat="1" applyFont="1" applyFill="1" applyBorder="1" applyAlignment="1">
          <x:alignment horizontal="center" vertical="center" wrapText="1"/>
        </x:xf>
      </mc:Fallback>
    </mc:AlternateContent>
    <x:xf numFmtId="172" fontId="18" fillId="18" borderId="63" xfId="1" applyNumberFormat="1" applyFont="1" applyFill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173" fontId="18" fillId="18" borderId="5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8" borderId="52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8" borderId="1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8" borderId="12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8" borderId="53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8" borderId="53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8" borderId="36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8" borderId="36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8" borderId="9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8" borderId="9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8" borderId="66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8" borderId="66" xfId="1" applyNumberFormat="1" applyFont="1" applyFill="1" applyBorder="1" applyAlignment="1">
          <x:alignment horizontal="center" vertical="center" wrapText="1"/>
        </x:xf>
      </mc:Fallback>
    </mc:AlternateContent>
    <x:xf numFmtId="172" fontId="18" fillId="18" borderId="9" xfId="1" applyNumberFormat="1" applyFont="1" applyFill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172" fontId="18" fillId="18" borderId="2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8" borderId="2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8" borderId="64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8" borderId="64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8" borderId="4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8" borderId="4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8" borderId="27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8" borderId="27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8" borderId="2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8" borderId="22" xfId="0" applyNumberFormat="1" applyFont="1" applyFill="1" applyBorder="1" applyAlignment="1">
          <x:alignment horizontal="center" vertical="center"/>
        </x:xf>
      </mc:Fallback>
    </mc:AlternateContent>
    <x:xf numFmtId="172" fontId="18" fillId="0" borderId="67" xfId="1" applyNumberFormat="1" applyFont="1" applyBorder="1" applyAlignment="1">
      <x:alignment horizontal="general" vertical="center" wrapText="1"/>
    </x:xf>
    <x:xf numFmtId="172" fontId="18" fillId="0" borderId="51" xfId="1" applyNumberFormat="1" applyFont="1" applyBorder="1" applyAlignment="1">
      <x:alignment horizontal="general" vertical="center" wrapText="1"/>
    </x:xf>
    <x:xf numFmtId="172" fontId="18" fillId="0" borderId="64" xfId="1" applyNumberFormat="1" applyFont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172" fontId="18" fillId="14" borderId="12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12" xfId="1" applyNumberFormat="1" applyFont="1" applyFill="1" applyBorder="1" applyAlignment="1">
          <x:alignment horizontal="center" vertical="center" wrapText="1"/>
        </x:xf>
      </mc:Fallback>
    </mc:AlternateContent>
    <x:xf numFmtId="172" fontId="18" fillId="14" borderId="21" xfId="1" applyNumberFormat="1" applyFont="1" applyFill="1" applyBorder="1" applyAlignment="1">
      <x:alignment horizontal="general" vertical="center" wrapText="1"/>
    </x:xf>
    <x:xf numFmtId="172" fontId="18" fillId="14" borderId="34" xfId="1" applyNumberFormat="1" applyFont="1" applyFill="1" applyBorder="1" applyAlignment="1">
      <x:alignment horizontal="general" vertical="center" wrapText="1"/>
    </x:xf>
    <x:xf numFmtId="172" fontId="18" fillId="14" borderId="51" xfId="1" applyNumberFormat="1" applyFont="1" applyFill="1" applyBorder="1" applyAlignment="1">
      <x:alignment horizontal="general" vertical="center" wrapText="1"/>
    </x:xf>
    <x:xf numFmtId="173" fontId="18" fillId="14" borderId="40" xfId="0" applyNumberFormat="1" applyFont="1" applyFill="1" applyBorder="1">
      <x:alignment horizontal="general" vertical="center"/>
    </x:xf>
    <x:xf numFmtId="173" fontId="18" fillId="14" borderId="1" xfId="0" applyNumberFormat="1" applyFont="1" applyFill="1" applyBorder="1">
      <x:alignment horizontal="general" vertical="center"/>
    </x:xf>
    <x:xf numFmtId="173" fontId="18" fillId="14" borderId="21" xfId="0" applyNumberFormat="1" applyFont="1" applyFill="1" applyBorder="1">
      <x:alignment horizontal="general" vertical="center"/>
    </x:xf>
    <x:xf numFmtId="172" fontId="18" fillId="0" borderId="55" xfId="0" applyNumberFormat="1" applyFont="1" applyBorder="1">
      <x:alignment horizontal="general" vertical="center"/>
    </x:xf>
    <x:xf numFmtId="172" fontId="18" fillId="0" borderId="51" xfId="0" applyNumberFormat="1" applyFon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2" fontId="18" fillId="14" borderId="1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11" xfId="0" applyNumberFormat="1" applyFont="1" applyFill="1" applyBorder="1" applyAlignment="1">
          <x:alignment horizontal="center" vertical="center"/>
        </x:xf>
      </mc:Fallback>
    </mc:AlternateContent>
    <x:xf numFmtId="172" fontId="18" fillId="14" borderId="0" xfId="0" applyNumberFormat="1" applyFont="1" applyFill="1">
      <x:alignment horizontal="general" vertical="center"/>
    </x:xf>
    <x:xf numFmtId="172" fontId="18" fillId="14" borderId="51" xfId="0" applyNumberFormat="1" applyFont="1" applyFill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2" fontId="18" fillId="14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4" borderId="2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4" borderId="21" xfId="0" applyNumberFormat="1" applyFont="1" applyFill="1" applyBorder="1" applyAlignment="1">
          <x:alignment horizontal="center" vertical="center"/>
        </x:xf>
      </mc:Fallback>
    </mc:AlternateContent>
    <x:xf numFmtId="0" fontId="18" fillId="14" borderId="0" xfId="0" applyNumberFormat="1" applyFont="1" applyFill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2" fontId="18" fillId="18" borderId="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8" borderId="2" xfId="0" applyNumberFormat="1" applyFont="1" applyFill="1" applyBorder="1" applyAlignment="1">
          <x:alignment horizontal="center" vertical="center"/>
        </x:xf>
      </mc:Fallback>
    </mc:AlternateContent>
    <x:xf numFmtId="172" fontId="18" fillId="18" borderId="2" xfId="0" applyNumberFormat="1" applyFont="1" applyFill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2" fontId="18" fillId="18" borderId="27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8" borderId="27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3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31" xfId="0" applyNumberFormat="1" applyFont="1" applyFill="1" applyBorder="1" applyAlignment="1">
          <x:alignment horizontal="center" vertical="center"/>
        </x:xf>
      </mc:Fallback>
    </mc:AlternateContent>
    <x:xf numFmtId="172" fontId="18" fillId="12" borderId="55" xfId="0" applyNumberFormat="1" applyFont="1" applyFill="1" applyBorder="1">
      <x:alignment horizontal="general" vertical="center"/>
    </x:xf>
    <x:xf numFmtId="172" fontId="18" fillId="12" borderId="51" xfId="0" applyNumberFormat="1" applyFont="1" applyFill="1" applyBorder="1">
      <x:alignment horizontal="general" vertical="center"/>
    </x:xf>
    <x:xf numFmtId="172" fontId="18" fillId="14" borderId="1" xfId="0" applyNumberFormat="1" applyFont="1" applyFill="1" applyBorder="1">
      <x:alignment horizontal="general" vertical="center"/>
    </x:xf>
    <x:xf numFmtId="172" fontId="18" fillId="14" borderId="23" xfId="0" applyNumberFormat="1" applyFont="1" applyFill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2" fontId="18" fillId="14" borderId="15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15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4" borderId="2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4" borderId="22" xfId="0" applyNumberFormat="1" applyFont="1" applyFill="1" applyBorder="1" applyAlignment="1">
          <x:alignment horizontal="center" vertical="center"/>
        </x:xf>
      </mc:Fallback>
    </mc:AlternateContent>
    <x:xf numFmtId="172" fontId="18" fillId="14" borderId="21" xfId="0" applyNumberFormat="1" applyFont="1" applyFill="1" applyBorder="1">
      <x:alignment horizontal="general" vertical="center"/>
    </x:xf>
    <x:xf numFmtId="172" fontId="18" fillId="14" borderId="34" xfId="0" applyNumberFormat="1" applyFont="1" applyFill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1" fontId="18" fillId="14" borderId="2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1" fontId="18" fillId="14" borderId="21" xfId="0" applyNumberFormat="1" applyFont="1" applyFill="1" applyBorder="1" applyAlignment="1">
          <x:alignment horizontal="center" vertical="center"/>
        </x:xf>
      </mc:Fallback>
    </mc:AlternateContent>
    <x:xf numFmtId="172" fontId="18" fillId="14" borderId="31" xfId="0" applyNumberFormat="1" applyFont="1" applyFill="1" applyBorder="1">
      <x:alignment horizontal="general" vertical="center"/>
    </x:xf>
    <x:xf numFmtId="172" fontId="18" fillId="14" borderId="6" xfId="0" applyNumberFormat="1" applyFont="1" applyFill="1" applyBorder="1">
      <x:alignment horizontal="general" vertical="center"/>
    </x:xf>
    <x:xf numFmtId="172" fontId="18" fillId="14" borderId="64" xfId="0" applyNumberFormat="1" applyFont="1" applyFill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1" fontId="18" fillId="14" borderId="2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1" fontId="18" fillId="14" borderId="22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14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14" borderId="1" xfId="0" applyNumberFormat="1" applyFont="1" applyFill="1" applyBorder="1" applyAlignment="1">
          <x:alignment horizontal="center" vertical="center"/>
        </x:xf>
      </mc:Fallback>
    </mc:AlternateContent>
    <x:xf numFmtId="0" fontId="18" fillId="14" borderId="1" xfId="0" applyNumberFormat="1" applyFont="1" applyFill="1" applyBorder="1">
      <x:alignment horizontal="general" vertical="center"/>
    </x:xf>
    <x:xf numFmtId="0" fontId="18" fillId="14" borderId="23" xfId="0" applyNumberFormat="1" applyFont="1" applyFill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2" fontId="18" fillId="14" borderId="37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37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1" fontId="18" fillId="14" borderId="63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1" fontId="18" fillId="14" borderId="63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27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27" xfId="0" applyNumberFormat="1" applyFont="1" applyFill="1" applyBorder="1" applyAlignment="1">
          <x:alignment horizontal="center" vertical="center"/>
        </x:xf>
      </mc:Fallback>
    </mc:AlternateContent>
    <x:xf numFmtId="172" fontId="18" fillId="14" borderId="24" xfId="0" applyNumberFormat="1" applyFont="1" applyFill="1" applyBorder="1">
      <x:alignment horizontal="general" vertical="center"/>
    </x:xf>
    <x:xf numFmtId="172" fontId="18" fillId="14" borderId="2" xfId="0" applyNumberFormat="1" applyFont="1" applyFill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3" fontId="18" fillId="14" borderId="3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4" borderId="32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4" borderId="27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4" borderId="27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12" xfId="1" applyNumberFormat="1" applyFont="1" applyFill="1" applyBorder="1" applyAlignment="1" hs:applyExtension="1">
          <x:alignment horizontal="justify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12" xfId="1" applyNumberFormat="1" applyFont="1" applyFill="1" applyBorder="1" applyAlignment="1">
          <x:alignment horizontal="justify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4" fontId="18" fillId="14" borderId="0" xfId="0" applyNumberFormat="1" applyFont="1" applyFill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4" fontId="18" fillId="14" borderId="0" xfId="0" applyNumberFormat="1" applyFont="1" applyFill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7" fontId="18" fillId="14" borderId="0" xfId="0" applyNumberFormat="1" applyFont="1" applyFill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7" fontId="18" fillId="14" borderId="0" xfId="0" applyNumberFormat="1" applyFont="1" applyFill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4" fontId="18" fillId="14" borderId="34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4" fontId="18" fillId="14" borderId="34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3" borderId="36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3" borderId="36" xfId="1" applyNumberFormat="1" applyFont="1" applyFill="1" applyBorder="1" applyAlignment="1">
          <x:alignment horizontal="center" vertical="center" wrapText="1"/>
        </x:xf>
      </mc:Fallback>
    </mc:AlternateContent>
    <x:xf numFmtId="172" fontId="18" fillId="0" borderId="68" xfId="0" applyNumberFormat="1" applyFont="1" applyBorder="1">
      <x:alignment horizontal="general" vertical="center"/>
    </x:xf>
    <x:xf numFmtId="172" fontId="18" fillId="0" borderId="69" xfId="0" applyNumberFormat="1" applyFont="1" applyBorder="1">
      <x:alignment horizontal="general" vertical="center"/>
    </x:xf>
    <x:xf numFmtId="172" fontId="18" fillId="14" borderId="69" xfId="0" applyNumberFormat="1" applyFont="1" applyFill="1" applyBorder="1">
      <x:alignment horizontal="general" vertical="center"/>
    </x:xf>
    <x:xf numFmtId="172" fontId="18" fillId="18" borderId="70" xfId="0" applyNumberFormat="1" applyFont="1" applyFill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2" fontId="18" fillId="0" borderId="7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7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7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72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6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62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58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58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53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53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39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39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4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40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40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40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8" borderId="4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8" borderId="4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2" xfId="0" applyNumberFormat="1" applyFont="1" applyFill="1" applyBorder="1" applyAlignment="1">
          <x:alignment horizontal="center" vertical="center"/>
        </x:xf>
      </mc:Fallback>
    </mc:AlternateContent>
    <x:xf numFmtId="172" fontId="18" fillId="14" borderId="35" xfId="0" applyNumberFormat="1" applyFont="1" applyFill="1" applyBorder="1">
      <x:alignment horizontal="general" vertical="center"/>
    </x:xf>
    <x:xf numFmtId="172" fontId="18" fillId="18" borderId="21" xfId="1" applyNumberFormat="1" applyFont="1" applyFill="1" applyBorder="1" applyAlignment="1">
      <x:alignment horizontal="general" vertical="center" wrapText="1"/>
    </x:xf>
    <x:xf numFmtId="172" fontId="18" fillId="18" borderId="60" xfId="1" applyNumberFormat="1" applyFont="1" applyFill="1" applyBorder="1" applyAlignment="1">
      <x:alignment horizontal="general" vertical="center" wrapText="1"/>
    </x:xf>
    <x:xf numFmtId="172" fontId="18" fillId="18" borderId="67" xfId="1" applyNumberFormat="1" applyFont="1" applyFill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175" fontId="18" fillId="18" borderId="40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5" fontId="18" fillId="18" borderId="40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5" fontId="18" fillId="18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5" fontId="18" fillId="18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18" borderId="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18" borderId="1" xfId="1" applyNumberFormat="1" applyFont="1" applyFill="1" applyBorder="1" applyAlignment="1">
          <x:alignment horizontal="center" vertical="center" wrapText="1"/>
        </x:xf>
      </mc:Fallback>
    </mc:AlternateContent>
    <x:xf numFmtId="0" fontId="18" fillId="18" borderId="1" xfId="1" applyNumberFormat="1" applyFont="1" applyFill="1" applyBorder="1" applyAlignment="1">
      <x:alignment horizontal="general" vertical="center" wrapText="1"/>
    </x:xf>
    <x:xf numFmtId="0" fontId="18" fillId="18" borderId="1" xfId="0" applyNumberFormat="1" applyFont="1" applyFill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2" fontId="18" fillId="19" borderId="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9" borderId="1" xfId="1" applyNumberFormat="1" applyFont="1" applyFill="1" applyBorder="1" applyAlignment="1">
          <x:alignment horizontal="center" vertical="center" wrapText="1"/>
        </x:xf>
      </mc:Fallback>
    </mc:AlternateContent>
    <x:xf numFmtId="172" fontId="18" fillId="19" borderId="21" xfId="1" applyNumberFormat="1" applyFont="1" applyFill="1" applyBorder="1" applyAlignment="1">
      <x:alignment horizontal="general" vertical="center" wrapText="1"/>
    </x:xf>
    <x:xf numFmtId="172" fontId="18" fillId="19" borderId="34" xfId="1" applyNumberFormat="1" applyFont="1" applyFill="1" applyBorder="1" applyAlignment="1">
      <x:alignment horizontal="general" vertical="center" wrapText="1"/>
    </x:xf>
    <x:xf numFmtId="172" fontId="18" fillId="19" borderId="51" xfId="1" applyNumberFormat="1" applyFont="1" applyFill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175" fontId="18" fillId="19" borderId="40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5" fontId="18" fillId="19" borderId="40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5" fontId="18" fillId="19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5" fontId="18" fillId="19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9" borderId="2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9" borderId="2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19" borderId="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19" borderId="1" xfId="1" applyNumberFormat="1" applyFont="1" applyFill="1" applyBorder="1" applyAlignment="1">
          <x:alignment horizontal="center" vertical="center" wrapText="1"/>
        </x:xf>
      </mc:Fallback>
    </mc:AlternateContent>
    <x:xf numFmtId="0" fontId="18" fillId="19" borderId="1" xfId="1" applyNumberFormat="1" applyFont="1" applyFill="1" applyBorder="1" applyAlignment="1">
      <x:alignment horizontal="general" vertical="center" wrapText="1"/>
    </x:xf>
    <x:xf numFmtId="0" fontId="18" fillId="19" borderId="1" xfId="0" applyNumberFormat="1" applyFont="1" applyFill="1" applyBorder="1">
      <x:alignment horizontal="general" vertical="center"/>
    </x:xf>
    <x:xf numFmtId="0" fontId="18" fillId="19" borderId="0" xfId="0" applyNumberFormat="1" applyFont="1" applyFill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2" fontId="18" fillId="0" borderId="38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38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1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11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32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32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7" fontId="13" fillId="0" borderId="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7" fontId="13" fillId="0" borderId="1" xfId="0" applyNumberFormat="1" applyFont="1" applyBorder="1" applyAlignment="1">
          <x:alignment horizontal="center" vertical="center" wrapText="1"/>
        </x:xf>
      </mc:Fallback>
    </mc:AlternateContent>
    <x:xf numFmtId="0" fontId="16" fillId="3" borderId="1" xfId="0" applyNumberFormat="1" applyFont="1" applyFill="1" applyBorder="1">
      <x:alignment horizontal="general" vertical="center"/>
    </x:xf>
    <x:xf numFmtId="0" fontId="0" fillId="3" borderId="0" xfId="0" applyNumberFormat="1" applyFill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79" fontId="16" fillId="0" borderId="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9" fontId="16" fillId="0" borderId="1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7" fontId="16" fillId="0" borderId="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7" fontId="16" fillId="0" borderId="1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7" fontId="0" fillId="0" borderId="1" xfId="1" applyNumberForma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7" fontId="0" fillId="0" borderId="1" xfId="1" applyNumberForma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7" fontId="0" fillId="12" borderId="1" xfId="1" applyNumberForma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7" fontId="0" fillId="12" borderId="1" xfId="1" applyNumberForma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0" fillId="7" borderId="1" xfId="1" applyNumberForma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0" fillId="7" borderId="1" xfId="1" applyNumberFormat="1" applyFill="1" applyBorder="1" applyAlignment="1">
          <x:alignment horizontal="center" vertical="center" wrapText="1"/>
        </x:xf>
      </mc:Fallback>
    </mc:AlternateContent>
    <x:xf numFmtId="0" fontId="0" fillId="0" borderId="68" xfId="0" applyNumberFormat="1" applyBorder="1">
      <x:alignment horizontal="general" vertical="center"/>
    </x:xf>
    <x:xf numFmtId="0" fontId="0" fillId="0" borderId="59" xfId="0" applyNumberFormat="1" applyBorder="1">
      <x:alignment horizontal="general" vertical="center"/>
    </x:xf>
    <x:xf numFmtId="0" fontId="0" fillId="0" borderId="33" xfId="0" applyNumberFormat="1" applyBorder="1">
      <x:alignment horizontal="general" vertical="center"/>
    </x:xf>
    <x:xf numFmtId="0" fontId="0" fillId="0" borderId="69" xfId="0" applyNumberForma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19" fillId="0" borderId="73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0" borderId="73" xfId="0" applyNumberFormat="1" applyFont="1" applyBorder="1" applyAlignment="1">
          <x:alignment horizontal="center" vertical="center" wrapText="1"/>
        </x:xf>
      </mc:Fallback>
    </mc:AlternateContent>
    <x:xf numFmtId="49" fontId="23" fillId="0" borderId="73" xfId="0" applyNumberFormat="1" applyFont="1" applyBorder="1" applyAlignment="1">
      <x:alignment horizontal="general" vertical="center" wrapText="1"/>
    </x:xf>
    <x:xf numFmtId="49" fontId="20" fillId="0" borderId="73" xfId="0" applyNumberFormat="1" applyFont="1" applyBorder="1">
      <x:alignment horizontal="general" vertical="center"/>
    </x:xf>
    <x:xf numFmtId="49" fontId="19" fillId="0" borderId="73" xfId="0" applyNumberFormat="1" applyFon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19" fillId="0" borderId="74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0" borderId="74" xfId="0" applyNumberFormat="1" applyFont="1" applyBorder="1" applyAlignment="1">
          <x:alignment horizontal="center" vertical="center"/>
        </x:xf>
      </mc:Fallback>
    </mc:AlternateContent>
    <x:xf numFmtId="0" fontId="19" fillId="0" borderId="75" xfId="0" applyNumberFormat="1" applyFon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19" fillId="0" borderId="7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0" borderId="76" xfId="0" applyNumberFormat="1" applyFont="1" applyBorder="1" applyAlignment="1">
          <x:alignment horizontal="center" vertical="center"/>
        </x:xf>
      </mc:Fallback>
    </mc:AlternateContent>
    <x:xf numFmtId="0" fontId="0" fillId="0" borderId="77" xfId="0" applyNumberForma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66" fontId="13" fillId="6" borderId="1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3" fillId="6" borderId="1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5" fontId="13" fillId="6" borderId="1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5" fontId="13" fillId="6" borderId="1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13" fillId="0" borderId="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13" fillId="0" borderId="1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7" fontId="13" fillId="6" borderId="1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7" fontId="13" fillId="6" borderId="1" xfId="0" applyNumberFormat="1" applyFont="1" applyFill="1" applyBorder="1" applyAlignment="1">
          <x:alignment horizontal="center" vertical="center" wrapText="1"/>
        </x:xf>
      </mc:Fallback>
    </mc:AlternateContent>
    <x:xf numFmtId="165" fontId="16" fillId="0" borderId="1" xfId="0" applyNumberFormat="1" applyFon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13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7" fontId="13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7" fontId="13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0" borderId="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0" borderId="1" xfId="0" applyNumberFormat="1" applyFont="1" applyBorder="1" applyAlignment="1">
          <x:alignment horizontal="center" vertical="center" wrapText="1"/>
        </x:xf>
      </mc:Fallback>
    </mc:AlternateContent>
    <x:xf numFmtId="0" fontId="12" fillId="5" borderId="11" xfId="0" applyNumberFormat="1" applyFont="1" applyFill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0" fontId="13" fillId="6" borderId="1" xfId="0" applyNumberFormat="1" applyFont="1" applyFill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6" borderId="1" xfId="0" applyNumberFormat="1" applyFont="1" applyFill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3" fillId="0" borderId="1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3" fillId="0" borderId="1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3" fillId="6" borderId="1" xfId="0" applyNumberFormat="1" applyFont="1" applyFill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3" fillId="6" borderId="1" xfId="0" applyNumberFormat="1" applyFont="1" applyFill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1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1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0" fillId="0" borderId="1" xfId="0" applyNumberForma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0" fillId="0" borderId="1" xfId="0" applyNumberForma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13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13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12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12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4" fillId="0" borderId="0" xfId="0" applyNumberFormat="1" applyFont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4" fillId="0" borderId="0" xfId="0" applyNumberFormat="1" applyFont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5" fillId="0" borderId="15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5" fillId="0" borderId="15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1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1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23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23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1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11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1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13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13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31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31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12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12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20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20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23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23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7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7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1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1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13" fillId="0" borderId="7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13" fillId="0" borderId="7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23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23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7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7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1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1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12" borderId="23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12" borderId="23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12" borderId="7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12" borderId="7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12" borderId="11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12" borderId="11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23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23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11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11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6" borderId="23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6" borderId="23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6" borderId="11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6" borderId="11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3" fillId="0" borderId="23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3" fillId="0" borderId="23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3" fillId="0" borderId="23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3" fillId="0" borderId="23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3" fillId="0" borderId="1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3" fillId="0" borderId="11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6" fillId="0" borderId="15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6" fillId="0" borderId="15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6" fillId="0" borderId="58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6" fillId="0" borderId="58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7" fillId="0" borderId="23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7" fillId="0" borderId="23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7" fillId="0" borderId="7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7" fillId="0" borderId="7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7" fillId="0" borderId="1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7" fillId="0" borderId="11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4" fillId="0" borderId="7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4" fillId="0" borderId="7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4" fillId="0" borderId="1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4" fillId="0" borderId="1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5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5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14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14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19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19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8" fillId="0" borderId="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8" fillId="0" borderId="6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8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8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8" fillId="0" borderId="37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8" fillId="0" borderId="37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0" borderId="6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0" borderId="6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0" borderId="0" xfId="0" applyNumberFormat="1" applyFont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0" borderId="0" xfId="0" applyNumberFormat="1" applyFont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0" borderId="37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0" borderId="37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1" xfId="0" applyNumberFormat="1" applyFont="1" applyFill="1" applyBorder="1" applyAlignment="1">
          <x:alignment horizontal="center" vertical="center"/>
        </x:xf>
      </mc:Fallback>
    </mc:AlternateContent>
    <x:xf numFmtId="0" fontId="29" fillId="0" borderId="0" xfId="0" applyNumberFormat="1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23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23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7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7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1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1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4" fillId="5" borderId="23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4" fillId="5" borderId="23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4" fillId="5" borderId="1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4" fillId="5" borderId="1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5" borderId="23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5" borderId="23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5" borderId="11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5" borderId="11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5" borderId="13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5" borderId="13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5" borderId="31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5" borderId="31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5" borderId="12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5" borderId="12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0" fillId="0" borderId="1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0" fillId="0" borderId="1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5" borderId="1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5" borderId="1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39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39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40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40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4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41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26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26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72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72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3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31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36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36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25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25" xfId="1" applyNumberFormat="1" applyFont="1" applyBorder="1" applyAlignment="1">
          <x:alignment horizontal="center" vertical="center" wrapText="1"/>
        </x:xf>
      </mc:Fallback>
    </mc:AlternateContent>
    <x:xf numFmtId="172" fontId="18" fillId="0" borderId="44" xfId="1" applyNumberFormat="1" applyFont="1" applyBorder="1" applyAlignment="1">
      <x:alignment horizontal="general" vertical="center" wrapText="1"/>
    </x:xf>
    <x:xf numFmtId="172" fontId="18" fillId="0" borderId="45" xfId="1" applyNumberFormat="1" applyFont="1" applyBorder="1" applyAlignment="1">
      <x:alignment horizontal="general" vertical="center" wrapText="1"/>
    </x:xf>
    <x:xf numFmtId="172" fontId="18" fillId="0" borderId="46" xfId="1" applyNumberFormat="1" applyFont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172" fontId="18" fillId="7" borderId="39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7" borderId="39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7" borderId="40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7" borderId="40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7" borderId="56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7" borderId="56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7" borderId="26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7" borderId="26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7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7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7" borderId="13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7" borderId="13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7" borderId="20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7" borderId="20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7" borderId="2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7" borderId="2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7" borderId="54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7" borderId="54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13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13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1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27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27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23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23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24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24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7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71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37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37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66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66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0" borderId="25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0" borderId="25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0" borderId="38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0" borderId="38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0" borderId="43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0" borderId="43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0" borderId="23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0" borderId="23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0" borderId="1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0" borderId="1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0" borderId="7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0" borderId="7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7" borderId="23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7" borderId="23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7" borderId="1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7" borderId="1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7" borderId="7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7" borderId="7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3" borderId="23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3" borderId="23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3" borderId="1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3" borderId="1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3" borderId="7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3" borderId="7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13" borderId="0" xfId="0" applyNumberFormat="1" applyFont="1" applyFill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13" borderId="0" xfId="0" applyNumberFormat="1" applyFont="1" applyFill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3" borderId="24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3" borderId="24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3" borderId="32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3" borderId="32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3" borderId="10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3" borderId="10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3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31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25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25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38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38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23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23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1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11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3" borderId="9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3" borderId="9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3" borderId="66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3" borderId="66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3" borderId="2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3" borderId="2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78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78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79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79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50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50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25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25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38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38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26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26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23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23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1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1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7" borderId="23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7" borderId="23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7" borderId="1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7" borderId="1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7" borderId="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7" borderId="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8" borderId="23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8" borderId="23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8" borderId="1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8" borderId="1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8" borderId="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8" borderId="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6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6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8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8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12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12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1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11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5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56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5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50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32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32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8" borderId="6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8" borderId="6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8" borderId="37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8" borderId="37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13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13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1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12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54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54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53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53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3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36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63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63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5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52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12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12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8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8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58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58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8" borderId="3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8" borderId="3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7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7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7" borderId="7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7" borderId="7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1" fontId="18" fillId="0" borderId="3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1" fontId="18" fillId="0" borderId="31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6" fontId="18" fillId="10" borderId="25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6" fontId="18" fillId="10" borderId="25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6" fontId="18" fillId="10" borderId="38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6" fontId="18" fillId="10" borderId="38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6" fontId="18" fillId="10" borderId="43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6" fontId="18" fillId="10" borderId="43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58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58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43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43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38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38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8" borderId="7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8" borderId="7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62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62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57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57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63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63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6" fontId="18" fillId="10" borderId="23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6" fontId="18" fillId="10" borderId="23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6" fontId="18" fillId="10" borderId="1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6" fontId="18" fillId="10" borderId="1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6" fontId="18" fillId="10" borderId="7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6" fontId="18" fillId="10" borderId="7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6" fontId="18" fillId="10" borderId="24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6" fontId="18" fillId="10" borderId="24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6" fontId="18" fillId="10" borderId="32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6" fontId="18" fillId="10" borderId="32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6" fontId="18" fillId="10" borderId="10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6" fontId="18" fillId="10" borderId="10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5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5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19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19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7" fontId="18" fillId="10" borderId="25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7" fontId="18" fillId="10" borderId="25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7" fontId="18" fillId="10" borderId="38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7" fontId="18" fillId="10" borderId="38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7" fontId="18" fillId="10" borderId="43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7" fontId="18" fillId="10" borderId="43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7" fontId="18" fillId="10" borderId="23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7" fontId="18" fillId="10" borderId="23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7" fontId="18" fillId="10" borderId="1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7" fontId="18" fillId="10" borderId="1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7" fontId="18" fillId="10" borderId="7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7" fontId="18" fillId="10" borderId="7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8" fillId="0" borderId="23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8" fillId="0" borderId="23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8" fillId="0" borderId="7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8" fillId="0" borderId="7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18" fillId="0" borderId="1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18" fillId="0" borderId="1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7" fontId="18" fillId="10" borderId="24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7" fontId="18" fillId="10" borderId="24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7" fontId="18" fillId="10" borderId="32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7" fontId="18" fillId="10" borderId="32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7" fontId="18" fillId="10" borderId="10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7" fontId="18" fillId="10" borderId="10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3" borderId="78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3" borderId="78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3" borderId="79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3" borderId="79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1" borderId="26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1" borderId="26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1" borderId="25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1" borderId="25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1" borderId="43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1" borderId="43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1" borderId="38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1" borderId="38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1" borderId="20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1" borderId="20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30" fillId="11" borderId="33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30" fillId="11" borderId="33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30" fillId="11" borderId="6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30" fillId="11" borderId="61" xfId="1" applyNumberFormat="1" applyFont="1" applyFill="1" applyBorder="1" applyAlignment="1">
          <x:alignment horizontal="center" vertical="center" wrapText="1"/>
        </x:xf>
      </mc:Fallback>
    </mc:AlternateContent>
    <x:xf numFmtId="172" fontId="18" fillId="11" borderId="78" xfId="0" applyNumberFormat="1" applyFont="1" applyFill="1" applyBorder="1" applyAlignment="1">
      <x:alignment horizontal="general" vertical="center"/>
    </x:xf>
    <x:xf numFmtId="172" fontId="18" fillId="11" borderId="52" xfId="0" applyNumberFormat="1" applyFont="1" applyFill="1" applyBorder="1" applyAlignment="1">
      <x:alignment horizontal="general" vertical="center"/>
    </x:xf>
    <x:xf numFmtId="172" fontId="18" fillId="11" borderId="72" xfId="0" applyNumberFormat="1" applyFont="1" applyFill="1" applyBorder="1" applyAlignment="1">
      <x:alignment horizontal="general" vertical="center"/>
    </x:xf>
    <x:xf numFmtId="172" fontId="18" fillId="11" borderId="12" xfId="0" applyNumberFormat="1" applyFont="1" applyFill="1" applyBorder="1" applyAlignment="1">
      <x:alignment horizontal="general" vertical="center"/>
    </x:xf>
    <x:xf numFmtId="172" fontId="18" fillId="11" borderId="62" xfId="0" applyNumberFormat="1" applyFont="1" applyFill="1" applyBorder="1" applyAlignment="1">
      <x:alignment horizontal="general" vertical="center"/>
    </x:xf>
    <x:xf numFmtId="172" fontId="18" fillId="11" borderId="53" xfId="0" applyNumberFormat="1" applyFont="1" applyFill="1" applyBorder="1" applyAlignme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18" fillId="11" borderId="14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11" borderId="14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11" borderId="19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11" borderId="19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11" borderId="5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11" borderId="5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11" borderId="23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11" borderId="23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11" borderId="7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11" borderId="7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11" borderId="1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11" borderId="1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11" borderId="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11" borderId="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1" borderId="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1" borderId="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10" borderId="1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10" borderId="1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10" borderId="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10" borderId="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23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23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1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1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3" borderId="50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3" borderId="50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18" borderId="1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18" borderId="1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18" borderId="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18" borderId="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9" borderId="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9" borderId="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9" borderId="23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9" borderId="23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9" borderId="1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9" borderId="1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19" borderId="1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19" borderId="1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19" borderId="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19" borderId="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27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27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13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13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5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5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19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19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80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80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8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81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39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39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26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26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25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25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43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43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47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47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4" fontId="18" fillId="10" borderId="25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4" fontId="18" fillId="10" borderId="25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4" fontId="18" fillId="10" borderId="38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4" fontId="18" fillId="10" borderId="38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4" fontId="18" fillId="10" borderId="8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4" fontId="18" fillId="10" borderId="8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4" fontId="18" fillId="10" borderId="58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4" fontId="18" fillId="10" borderId="58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0" xfId="1" applyNumberFormat="1" applyFont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0" xfId="1" applyNumberFormat="1" applyFont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34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34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35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35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24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24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32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32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2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2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65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65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71" xfId="1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71" xfId="1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79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79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50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50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26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26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59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59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23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23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1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1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23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23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1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1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0" xfId="0" applyNumberFormat="1" applyFont="1" applyFill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0" xfId="0" applyNumberFormat="1" applyFont="1" applyFill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8" borderId="24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8" borderId="24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8" borderId="3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8" borderId="32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39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39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4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40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4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4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1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12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2" borderId="1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2" borderId="12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1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12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5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5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64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64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2" borderId="23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2" borderId="23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2" borderId="1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2" borderId="1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23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23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1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1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24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24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3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32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2" borderId="24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2" borderId="24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2" borderId="3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2" borderId="32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24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24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3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32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5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5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19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19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78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78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2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26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13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13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0" borderId="38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0" borderId="38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2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20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0" borderId="2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0" borderId="2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13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13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0" borderId="5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0" borderId="5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27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27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13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13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36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36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19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19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4" borderId="2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4" borderId="2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4" borderId="54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4" borderId="54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14" borderId="69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14" borderId="69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24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24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1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12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3" fontId="18" fillId="14" borderId="2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3" fontId="18" fillId="14" borderId="22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4" borderId="3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4" borderId="3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6" fontId="18" fillId="2" borderId="26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6" fontId="18" fillId="2" borderId="26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2" borderId="26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2" borderId="26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6" fontId="18" fillId="2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6" fontId="18" fillId="2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18" fillId="12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18" fillId="12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6" fontId="18" fillId="14" borderId="27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6" fontId="18" fillId="14" borderId="27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3" borderId="42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3" borderId="42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3" borderId="8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3" borderId="82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3" borderId="83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3" borderId="83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6" fontId="18" fillId="10" borderId="26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6" fontId="18" fillId="10" borderId="26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6" fontId="18" fillId="10" borderId="23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6" fontId="18" fillId="10" borderId="23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6" fontId="18" fillId="10" borderId="1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6" fontId="18" fillId="10" borderId="1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6" fontId="18" fillId="10" borderId="24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6" fontId="18" fillId="10" borderId="24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6" fontId="18" fillId="10" borderId="3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6" fontId="18" fillId="10" borderId="32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3" borderId="39" xfId="0" applyNumberFormat="1" applyFon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3" borderId="39" xfId="0" applyNumberFormat="1" applyFon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3" borderId="40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3" borderId="40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3" borderId="4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3" borderId="4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6" fontId="18" fillId="21" borderId="24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6" fontId="18" fillId="21" borderId="24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6" fontId="18" fillId="21" borderId="32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6" fontId="18" fillId="21" borderId="32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8" fillId="0" borderId="0" xfId="0" applyNumberFormat="1" applyFont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8" fillId="0" borderId="0" xfId="0" applyNumberFormat="1" applyFont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3" xfId="1" applyNumberForma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3" xfId="1" applyNumberForma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31" xfId="1" applyNumberForma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31" xfId="1" applyNumberForma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2" xfId="1" applyNumberForma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2" xfId="1" applyNumberFormat="1" applyBorder="1" applyAlignment="1">
          <x:alignment horizontal="center" vertical="center" wrapText="1"/>
        </x:xf>
      </mc:Fallback>
    </mc:AlternateContent>
    <x:xf numFmtId="0" fontId="0" fillId="0" borderId="0" xfId="0" applyNumberFormat="1" applyAlignment="1">
      <x:alignment horizontal="left" vertical="center" wrapText="1"/>
    </x:xf>
    <x:xf numFmtId="0" fontId="0" fillId="0" borderId="0" xfId="0" applyNumberForma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1" xfId="1" applyNumberForma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1" applyNumberForma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0" fillId="0" borderId="1" xfId="1" applyNumberForma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0" fillId="0" borderId="1" xfId="1" applyNumberForma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12" borderId="1" xfId="1" applyNumberForma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12" borderId="1" xfId="1" applyNumberForma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12" borderId="13" xfId="1" applyNumberForma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12" borderId="13" xfId="1" applyNumberForma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12" borderId="31" xfId="1" applyNumberForma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12" borderId="31" xfId="1" applyNumberFormat="1" applyFill="1" applyBorder="1" applyAlignment="1">
          <x:alignment horizontal="center" vertical="center" wrapText="1"/>
        </x:xf>
      </mc:Fallback>
    </mc:AlternateContent>
    <x:xf numFmtId="0" fontId="0" fillId="0" borderId="1" xfId="1" applyNumberFormat="1" applyBorder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0" fontId="0" fillId="7" borderId="13" xfId="1" applyNumberForma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7" borderId="13" xfId="1" applyNumberForma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7" borderId="31" xfId="1" applyNumberForma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7" borderId="31" xfId="1" applyNumberForma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7" borderId="1" xfId="1" applyNumberForma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7" borderId="1" xfId="1" applyNumberFormat="1" applyFill="1" applyBorder="1" applyAlignment="1">
          <x:alignment horizontal="center" vertical="center" wrapText="1"/>
        </x:xf>
      </mc:Fallback>
    </mc:AlternateContent>
    <x:xf numFmtId="0" fontId="0" fillId="12" borderId="1" xfId="1" applyNumberFormat="1" applyFill="1" applyBorder="1" applyAlignment="1">
      <x:alignment horizontal="general" vertical="center" wrapText="1"/>
    </x:xf>
    <x:xf numFmtId="0" fontId="31" fillId="0" borderId="7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31" fillId="0" borderId="7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0" borderId="7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0" borderId="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1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16" fillId="0" borderId="13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16" fillId="0" borderId="13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16" fillId="0" borderId="3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16" fillId="0" borderId="31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16" fillId="0" borderId="12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16" fillId="0" borderId="12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0" borderId="13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13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0" borderId="3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31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0" borderId="12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12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0" borderId="5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5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0" borderId="19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19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0" borderId="6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6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0" borderId="37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37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0" borderId="8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8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0" borderId="58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58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0" borderId="0" xfId="1" applyNumberFormat="1" applyFont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0" xfId="1" applyNumberFormat="1" applyFont="1" applyAlignment="1">
          <x:alignment horizontal="center" vertical="center" wrapText="1"/>
        </x:xf>
      </mc:Fallback>
    </mc:AlternateContent>
    <x:xf numFmtId="0" fontId="31" fillId="0" borderId="2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39" xfId="1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39" xfId="1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26" xfId="1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26" xfId="1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0" borderId="40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40" xfId="1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0" borderId="1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1" xfId="1" applyNumberFormat="1" applyFont="1" applyBorder="1" applyAlignment="1">
          <x:alignment horizontal="center" vertical="center"/>
        </x:xf>
      </mc:Fallback>
    </mc:AlternateContent>
    <x:xf numFmtId="0" fontId="16" fillId="0" borderId="1" xfId="1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6" fillId="0" borderId="23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23" xfId="1" applyNumberFormat="1" applyFont="1" applyBorder="1" applyAlignment="1">
          <x:alignment horizontal="center" vertical="center"/>
        </x:xf>
      </mc:Fallback>
    </mc:AlternateContent>
    <x:xf numFmtId="0" fontId="16" fillId="0" borderId="5" xfId="1" applyNumberFormat="1" applyFont="1" applyBorder="1" applyAlignment="1">
      <x:alignment horizontal="left" vertical="center"/>
    </x:xf>
    <x:xf numFmtId="0" fontId="16" fillId="0" borderId="14" xfId="1" applyNumberFormat="1" applyFont="1" applyBorder="1" applyAlignment="1">
      <x:alignment horizontal="left" vertical="center"/>
    </x:xf>
    <x:xf numFmtId="0" fontId="16" fillId="0" borderId="19" xfId="1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6" fillId="0" borderId="54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54" xfId="1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0" borderId="53" xfId="1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53" xfId="1" applyNumberFormat="1" applyFont="1" applyBorder="1" applyAlignment="1">
          <x:alignment horizontal="center" vertical="center"/>
        </x:xf>
      </mc:Fallback>
    </mc:AlternateContent>
    <x:xf numFmtId="0" fontId="16" fillId="0" borderId="12" xfId="1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6" fillId="0" borderId="40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40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0" borderId="4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41" xfId="1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0" borderId="27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27" xfId="1" applyNumberFormat="1" applyFont="1" applyBorder="1" applyAlignment="1">
          <x:alignment horizontal="center" vertical="center" wrapText="1"/>
        </x:xf>
      </mc:Fallback>
    </mc:AlternateContent>
    <x:xf numFmtId="0" fontId="16" fillId="0" borderId="27" xfId="1" applyNumberFormat="1" applyFont="1" applyBorder="1" applyAlignment="1">
      <x:alignment horizontal="left" vertical="center"/>
    </x:xf>
    <x:xf numFmtId="0" fontId="31" fillId="0" borderId="59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Alignment="1">
          <x:alignment horizontal="center" vertical="center"/>
        </x:xf>
      </mc:Fallback>
    </mc:AlternateContent>
    <x:xf numFmtId="0" fontId="32" fillId="0" borderId="0" xfId="0" applyNumberFormat="1" applyFont="1" applyAlignment="1">
      <x:alignment horizontal="left" vertical="center" wrapText="1"/>
    </x:xf>
    <mc:AlternateContent xmlns:mc="http://schemas.openxmlformats.org/markup-compatibility/2006">
      <mc:Choice xmlns:hs="http://schemas.haansoft.com/office/spreadsheet/8.0" Requires="hs">
        <x:xf numFmtId="0" fontId="29" fillId="0" borderId="0" xfId="2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9" fillId="0" borderId="0" xfId="2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2" applyNumberForma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2" applyNumberForma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2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2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3" fillId="0" borderId="84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3" fillId="0" borderId="84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3" fillId="0" borderId="85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3" fillId="0" borderId="85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3" fillId="0" borderId="8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3" fillId="0" borderId="86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3" fillId="0" borderId="87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3" fillId="0" borderId="87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0" borderId="74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0" borderId="74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0" borderId="28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0" borderId="28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5" fontId="19" fillId="0" borderId="28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5" fontId="19" fillId="0" borderId="28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5" fontId="19" fillId="0" borderId="75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5" fontId="19" fillId="0" borderId="75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0" borderId="75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0" borderId="75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0" borderId="88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0" borderId="88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0" borderId="89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0" borderId="89" xfId="0" applyNumberFormat="1" applyFont="1" applyBorder="1" applyAlignment="1">
          <x:alignment horizontal="center" vertical="center"/>
        </x:xf>
      </mc:Fallback>
    </mc:AlternateContent>
    <x:xf numFmtId="0" fontId="19" fillId="0" borderId="84" xfId="0" applyNumberFormat="1" applyFont="1" applyBorder="1" applyAlignment="1">
      <x:alignment horizontal="left" vertical="top" wrapText="1"/>
    </x:xf>
    <x:xf numFmtId="0" fontId="19" fillId="0" borderId="85" xfId="0" applyNumberFormat="1" applyFont="1" applyBorder="1" applyAlignment="1">
      <x:alignment horizontal="left" vertical="top" wrapText="1"/>
    </x:xf>
    <x:xf numFmtId="0" fontId="19" fillId="0" borderId="86" xfId="0" applyNumberFormat="1" applyFont="1" applyBorder="1" applyAlignment="1">
      <x:alignment horizontal="left" vertical="top" wrapText="1"/>
    </x:xf>
    <x:xf numFmtId="0" fontId="19" fillId="0" borderId="87" xfId="0" applyNumberFormat="1" applyFont="1" applyBorder="1" applyAlignment="1">
      <x:alignment horizontal="left" vertical="top" wrapText="1"/>
    </x:xf>
    <x:xf numFmtId="0" fontId="19" fillId="0" borderId="90" xfId="0" applyNumberFormat="1" applyFont="1" applyBorder="1" applyAlignment="1">
      <x:alignment horizontal="left" vertical="top" wrapText="1"/>
    </x:xf>
    <x:xf numFmtId="0" fontId="19" fillId="0" borderId="91" xfId="0" applyNumberFormat="1" applyFont="1" applyBorder="1" applyAlignment="1">
      <x:alignment horizontal="left" vertical="top" wrapText="1"/>
    </x:xf>
    <x:xf numFmtId="0" fontId="19" fillId="0" borderId="92" xfId="0" applyNumberFormat="1" applyFont="1" applyBorder="1" applyAlignment="1">
      <x:alignment horizontal="left" vertical="top" wrapText="1"/>
    </x:xf>
    <x:xf numFmtId="0" fontId="19" fillId="0" borderId="93" xfId="0" applyNumberFormat="1" applyFont="1" applyBorder="1" applyAlignment="1">
      <x:alignment horizontal="left" vertical="top" wrapText="1"/>
    </x:xf>
    <mc:AlternateContent xmlns:mc="http://schemas.openxmlformats.org/markup-compatibility/2006">
      <mc:Choice xmlns:hs="http://schemas.haansoft.com/office/spreadsheet/8.0" Requires="hs">
        <x:xf numFmtId="0" fontId="11" fillId="0" borderId="70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70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2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2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1" fillId="0" borderId="35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1" fillId="0" borderId="35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0" borderId="76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0" borderId="76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0" borderId="94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0" borderId="94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9" fillId="0" borderId="95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9" fillId="0" borderId="95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6" fillId="3" borderId="1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6" fillId="3" borderId="1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16" borderId="23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16" borderId="23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16" borderId="7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16" borderId="7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16" borderId="11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16" borderId="11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1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1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7" borderId="1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7" borderId="1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4" fontId="0" fillId="7" borderId="1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0" fillId="7" borderId="1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7" borderId="13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7" borderId="13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7" borderId="12" xfId="0" applyNumberForma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7" borderId="12" xfId="0" applyNumberForma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7" borderId="1" xfId="0" applyNumberFormat="1" applyFill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7" borderId="1" xfId="0" applyNumberFormat="1" applyFill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4" fillId="0" borderId="0" xfId="0" applyNumberFormat="1" applyFont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4" fillId="0" borderId="0" xfId="0" applyNumberFormat="1" applyFont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0" borderId="23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23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0" borderId="1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11" xfId="0" applyNumberFormat="1" applyFont="1" applyBorder="1" applyAlignment="1">
          <x:alignment horizontal="center" vertical="center" wrapText="1"/>
        </x:xf>
      </mc:Fallback>
    </mc:AlternateContent>
    <x:xf numFmtId="0" fontId="6" fillId="0" borderId="2" xfId="0" applyNumberFormat="1" applyFont="1" applyBorder="1" applyAlignment="1">
      <x:alignment horizontal="left" vertical="bottom" wrapText="1"/>
    </x:xf>
    <mc:AlternateContent xmlns:mc="http://schemas.openxmlformats.org/markup-compatibility/2006">
      <mc:Choice xmlns:hs="http://schemas.haansoft.com/office/spreadsheet/8.0" Requires="hs">
        <x:xf numFmtId="0" fontId="35" fillId="0" borderId="0" xfId="0" applyNumberFormat="1" applyFont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5" fillId="0" borderId="0" xfId="0" applyNumberFormat="1" applyFont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5" fillId="0" borderId="24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5" fillId="0" borderId="24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5" fillId="0" borderId="32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5" fillId="0" borderId="32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39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39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6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26" xfId="0" applyNumberForma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26" xfId="0" applyNumberForma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0" borderId="65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0" borderId="65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0" borderId="59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0" borderId="59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0" borderId="33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0" borderId="33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4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40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5" fontId="0" fillId="0" borderId="1" xfId="0" applyNumberForma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5" fontId="0" fillId="0" borderId="1" xfId="0" applyNumberForma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5" fontId="21" fillId="0" borderId="23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5" fontId="21" fillId="0" borderId="23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5" fontId="21" fillId="0" borderId="7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5" fontId="21" fillId="0" borderId="7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5" fontId="21" fillId="0" borderId="48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5" fontId="21" fillId="0" borderId="48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0" borderId="8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0" borderId="8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0" borderId="15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0" borderId="15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0" borderId="6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0" borderId="6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96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96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9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9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77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77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58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58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21" fillId="0" borderId="5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21" fillId="0" borderId="5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0" borderId="14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0" borderId="14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0" borderId="19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0" borderId="19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0" borderId="8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0" borderId="8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0" borderId="15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0" borderId="15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0" borderId="58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0" borderId="58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40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40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21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21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21" fillId="0" borderId="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21" fillId="0" borderId="1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0" fillId="0" borderId="1" xfId="0" applyNumberForma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0" fillId="0" borderId="1" xfId="0" applyNumberForma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0" fillId="0" borderId="21" xfId="0" applyNumberForma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0" fillId="0" borderId="21" xfId="0" applyNumberForma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4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41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7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7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21" fillId="0" borderId="27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21" fillId="0" borderId="27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21" fillId="0" borderId="27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21" fillId="0" borderId="27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0" fillId="0" borderId="27" xfId="0" applyNumberForma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0" fillId="0" borderId="27" xfId="0" applyNumberForma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0" fillId="0" borderId="22" xfId="0" applyNumberForma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0" fillId="0" borderId="22" xfId="0" applyNumberFormat="1" applyBorder="1" applyAlignment="1">
          <x:alignment horizontal="center" vertical="center" wrapText="1"/>
        </x:xf>
      </mc:Fallback>
    </mc:AlternateContent>
    <x:xf numFmtId="0" fontId="6" fillId="0" borderId="80" xfId="0" applyNumberFormat="1" applyFont="1" applyBorder="1" applyAlignment="1">
      <x:alignment horizontal="left" vertical="center" wrapText="1"/>
    </x:xf>
    <x:xf numFmtId="0" fontId="6" fillId="0" borderId="81" xfId="0" applyNumberFormat="1" applyFont="1" applyBorder="1" applyAlignment="1">
      <x:alignment horizontal="left" vertical="center" wrapText="1"/>
    </x:xf>
    <x:xf numFmtId="0" fontId="6" fillId="0" borderId="97" xfId="0" applyNumberFormat="1" applyFont="1" applyBorder="1" applyAlignment="1">
      <x:alignment horizontal="left" vertical="center" wrapText="1"/>
    </x:xf>
    <x:xf numFmtId="0" fontId="0" fillId="0" borderId="0" xfId="0" applyNumberFormat="1" applyAlignment="1">
      <x:alignment horizontal="general" vertical="center" wrapText="1"/>
    </x:xf>
    <x:xf numFmtId="0" fontId="6" fillId="0" borderId="0" xfId="0" applyNumberFormat="1" applyFont="1" applyAlignment="1">
      <x:alignment horizontal="general" vertical="center" wrapText="1"/>
    </x:xf>
    <mc:AlternateContent xmlns:mc="http://schemas.openxmlformats.org/markup-compatibility/2006">
      <mc:Choice xmlns:hs="http://schemas.haansoft.com/office/spreadsheet/8.0" Requires="hs">
        <x:xf numFmtId="0" fontId="6" fillId="0" borderId="69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69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82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82" xfId="0" applyNumberFormat="1" applyBorder="1" applyAlignment="1">
          <x:alignment horizontal="center" vertical="center"/>
        </x:xf>
      </mc:Fallback>
    </mc:AlternateContent>
    <x:xf numFmtId="0" fontId="36" fillId="0" borderId="6" xfId="0" applyNumberFormat="1" applyFont="1" applyBorder="1" applyAlignment="1">
      <x:alignment horizontal="left" vertical="center" wrapText="1"/>
    </x:xf>
    <x:xf numFmtId="0" fontId="36" fillId="0" borderId="0" xfId="0" applyNumberFormat="1" applyFont="1" applyAlignment="1">
      <x:alignment horizontal="left" vertical="center" wrapText="1"/>
    </x:xf>
    <mc:AlternateContent xmlns:mc="http://schemas.openxmlformats.org/markup-compatibility/2006">
      <mc:Choice xmlns:hs="http://schemas.haansoft.com/office/spreadsheet/8.0" Requires="hs">
        <x:xf numFmtId="0" fontId="0" fillId="0" borderId="69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69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39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39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6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6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6" fillId="0" borderId="2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6" fillId="0" borderId="26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0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6" fillId="0" borderId="25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6" fillId="0" borderId="25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6" fillId="0" borderId="43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6" fillId="0" borderId="43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6" fillId="0" borderId="38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6" fillId="0" borderId="38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9" fillId="0" borderId="98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0" borderId="98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9" fillId="0" borderId="99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0" borderId="99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9" fillId="0" borderId="99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0" borderId="99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9" fillId="0" borderId="10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0" borderId="100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7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7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1" xfId="0" applyNumberFormat="1" applyFont="1" applyBorder="1" applyAlignment="1">
          <x:alignment horizontal="center" vertical="center" wrapText="1"/>
        </x:xf>
      </mc:Fallback>
    </mc:AlternateContent>
    <x:xf numFmtId="0" fontId="11" fillId="0" borderId="23" xfId="0" applyNumberFormat="1" applyFont="1" applyBorder="1" applyAlignment="1">
      <x:alignment horizontal="left" vertical="center" wrapText="1"/>
    </x:xf>
    <x:xf numFmtId="0" fontId="11" fillId="0" borderId="7" xfId="0" applyNumberFormat="1" applyFont="1" applyBorder="1" applyAlignment="1">
      <x:alignment horizontal="left" vertical="center" wrapText="1"/>
    </x:xf>
    <x:xf numFmtId="0" fontId="11" fillId="0" borderId="48" xfId="0" applyNumberFormat="1" applyFont="1" applyBorder="1" applyAlignment="1">
      <x:alignment horizontal="left" vertical="center" wrapText="1"/>
    </x:xf>
    <mc:AlternateContent xmlns:mc="http://schemas.openxmlformats.org/markup-compatibility/2006">
      <mc:Choice xmlns:hs="http://schemas.haansoft.com/office/spreadsheet/8.0" Requires="hs">
        <x:xf numFmtId="167" fontId="0" fillId="0" borderId="101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7" fontId="0" fillId="0" borderId="101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7" fontId="0" fillId="0" borderId="102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7" fontId="0" fillId="0" borderId="102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0" fontId="0" fillId="0" borderId="86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0" fontId="0" fillId="0" borderId="86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0" fontId="0" fillId="0" borderId="85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0" fontId="0" fillId="0" borderId="85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0" fillId="0" borderId="103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0" fillId="0" borderId="103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0" fillId="0" borderId="28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0" fillId="0" borderId="28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0" fillId="0" borderId="104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0" fillId="0" borderId="104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0" fillId="0" borderId="105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0" fillId="0" borderId="105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9" fontId="0" fillId="0" borderId="103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9" fontId="0" fillId="0" borderId="103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9" fontId="0" fillId="0" borderId="28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9" fontId="0" fillId="0" borderId="28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9" fontId="0" fillId="0" borderId="104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9" fontId="0" fillId="0" borderId="104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0" fontId="0" fillId="0" borderId="106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0" fontId="0" fillId="0" borderId="106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0" fontId="0" fillId="0" borderId="107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0" fontId="0" fillId="0" borderId="107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0" fontId="0" fillId="0" borderId="108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0" fontId="0" fillId="0" borderId="108" xfId="0" applyNumberFormat="1" applyBorder="1" applyAlignment="1">
          <x:alignment horizontal="center" vertical="center"/>
        </x:xf>
      </mc:Fallback>
    </mc:AlternateContent>
    <x:xf numFmtId="0" fontId="6" fillId="0" borderId="0" xfId="0" applyNumberFormat="1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0" borderId="39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39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6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6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65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65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59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59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33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33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96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96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9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9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69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69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37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37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77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77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58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58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0" fillId="0" borderId="14" xfId="0" applyNumberForma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0" fillId="0" borderId="14" xfId="0" applyNumberForma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0" fillId="0" borderId="7" xfId="0" applyNumberForma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0" fillId="0" borderId="7" xfId="0" applyNumberForma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0" fillId="0" borderId="0" xfId="0" applyNumberFormat="1" applyFont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0" fillId="0" borderId="0" xfId="0" applyNumberFormat="1" applyFont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0" borderId="7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7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10" fillId="0" borderId="7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10" fillId="0" borderId="7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0" borderId="15" xfId="0" applyNumberFormat="1" applyFont="1" applyBorder="1" applyAlignment="1" hs:applyExtension="1">
          <x:alignment horizontal="right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15" xfId="0" applyNumberFormat="1" applyFont="1" applyBorder="1" applyAlignment="1">
          <x:alignment horizontal="right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0" borderId="7" xfId="0" applyNumberFormat="1" applyFont="1" applyBorder="1" applyAlignment="1" hs:applyExtension="1">
          <x:alignment horizontal="right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7" xfId="0" applyNumberFormat="1" applyFont="1" applyBorder="1" applyAlignment="1">
          <x:alignment horizontal="right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6" fillId="0" borderId="96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6" fillId="0" borderId="96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6" fillId="0" borderId="69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6" fillId="0" borderId="69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Alignment="1" hs:applyExtension="1">
          <x:alignment horizontal="right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Alignment="1">
          <x:alignment horizontal="right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0" borderId="14" xfId="0" applyNumberFormat="1" applyFont="1" applyBorder="1" applyAlignment="1" hs:applyExtension="1">
          <x:alignment horizontal="right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14" xfId="0" applyNumberFormat="1" applyFont="1" applyBorder="1" applyAlignment="1">
          <x:alignment horizontal="right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70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70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66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66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0" borderId="2" xfId="0" applyNumberFormat="1" applyFont="1" applyBorder="1" applyAlignment="1" hs:applyExtension="1">
          <x:alignment horizontal="right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2" xfId="0" applyNumberFormat="1" applyFont="1" applyBorder="1" applyAlignment="1">
          <x:alignment horizontal="right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0" fillId="0" borderId="10" xfId="0" applyNumberFormat="1" applyFont="1" applyBorder="1" applyAlignment="1" hs:applyExtension="1">
          <x:alignment horizontal="right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10" xfId="0" applyNumberFormat="1" applyFont="1" applyBorder="1" applyAlignment="1">
          <x:alignment horizontal="right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4" fillId="0" borderId="37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4" fillId="0" borderId="37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0" borderId="2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0" borderId="26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0" borderId="2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0" borderId="20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5" fontId="21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5" fontId="21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5" fontId="21" fillId="0" borderId="2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5" fontId="21" fillId="0" borderId="2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0" borderId="2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0" borderId="2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1" fillId="0" borderId="5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1" fillId="0" borderId="5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6" fillId="0" borderId="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6" fillId="0" borderId="1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36" fillId="0" borderId="2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36" fillId="0" borderId="21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48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48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6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6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9" fillId="0" borderId="109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0" borderId="109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7" fontId="0" fillId="0" borderId="110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7" fontId="0" fillId="0" borderId="110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0" fillId="0" borderId="111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0" fillId="0" borderId="111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0" fillId="0" borderId="112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0" fillId="0" borderId="112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0" fillId="0" borderId="113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0" fillId="0" borderId="113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0" fillId="0" borderId="114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0" fillId="0" borderId="114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8" fontId="0" fillId="0" borderId="115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8" fontId="0" fillId="0" borderId="115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78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78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5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5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43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43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47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47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58" fontId="6" fillId="0" borderId="96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58" fontId="6" fillId="0" borderId="96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58" fontId="6" fillId="0" borderId="19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58" fontId="6" fillId="0" borderId="19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58" fontId="6" fillId="0" borderId="69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58" fontId="6" fillId="0" borderId="69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58" fontId="6" fillId="0" borderId="37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58" fontId="6" fillId="0" borderId="37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58" fontId="6" fillId="0" borderId="77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58" fontId="6" fillId="0" borderId="77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58" fontId="6" fillId="0" borderId="58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58" fontId="6" fillId="0" borderId="58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23" xfId="0" applyNumberForma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23" xfId="0" applyNumberForma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7" xfId="0" applyNumberForma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7" xfId="0" applyNumberForma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1" xfId="0" applyNumberForma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1" xfId="0" applyNumberForma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48" xfId="0" applyNumberForma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48" xfId="0" applyNumberForma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2" fontId="0" fillId="0" borderId="23" xfId="0" applyNumberForma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72" fontId="0" fillId="0" borderId="23" xfId="0" applyNumberForma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58" fontId="6" fillId="0" borderId="70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58" fontId="6" fillId="0" borderId="70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58" fontId="6" fillId="0" borderId="66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58" fontId="6" fillId="0" borderId="66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24" xfId="0" applyNumberForma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24" xfId="0" applyNumberForma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0" xfId="0" applyNumberForma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0" xfId="0" applyNumberForma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49" xfId="0" applyNumberForma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49" xfId="0" applyNumberForma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40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40" xfId="0" applyNumberFormat="1" applyBorder="1" applyAlignment="1">
          <x:alignment horizontal="center" vertical="center"/>
        </x:xf>
      </mc:Fallback>
    </mc:AlternateContent>
    <x:xf numFmtId="0" fontId="36" fillId="0" borderId="1" xfId="0" applyNumberFormat="1" applyFont="1" applyBorder="1" applyAlignment="1">
      <x:alignment horizontal="left" vertical="center" wrapText="1"/>
    </x:xf>
    <x:xf numFmtId="0" fontId="36" fillId="0" borderId="21" xfId="0" applyNumberFormat="1" applyFont="1" applyBorder="1" applyAlignment="1">
      <x:alignment horizontal="left" vertical="center" wrapText="1"/>
    </x:xf>
    <mc:AlternateContent xmlns:mc="http://schemas.openxmlformats.org/markup-compatibility/2006">
      <mc:Choice xmlns:hs="http://schemas.haansoft.com/office/spreadsheet/8.0" Requires="hs">
        <x:xf numFmtId="0" fontId="9" fillId="0" borderId="40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0" borderId="40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9" fillId="0" borderId="4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9" fillId="0" borderId="41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7" fontId="0" fillId="0" borderId="1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7" fontId="0" fillId="0" borderId="1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7" fontId="0" fillId="0" borderId="21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67" fontId="0" fillId="0" borderId="21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0" fontId="15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0" fontId="15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0" fontId="0" fillId="0" borderId="1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0" fontId="0" fillId="0" borderId="1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80" fontId="0" fillId="0" borderId="1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80" fontId="0" fillId="0" borderId="1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9" fontId="0" fillId="0" borderId="27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9" fontId="0" fillId="0" borderId="27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79" fontId="0" fillId="0" borderId="22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79" fontId="0" fillId="0" borderId="22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6" fontId="22" fillId="0" borderId="7" xfId="0" applyNumberFormat="1" applyFont="1" applyBorder="1" applyAlignment="1" hs:applyExtension="1">
          <x:alignment horizontal="center" vertical="center" shrinkToFit="1"/>
          <hs:parashape hs:lineSpacingType="betweenLines" hs:lineSpacing="75" hs:breakNonLatinWord="breakWord" hs:breakLatinWord="keepWord" hs:condense="0" hs:textAlignment="baseLine"/>
        </x:xf>
      </mc:Choice>
      <mc:Fallback>
        <x:xf numFmtId="166" fontId="22" fillId="0" borderId="7" xfId="0" applyNumberFormat="1" applyFont="1" applyBorder="1" applyAlignment="1">
          <x:alignment horizontal="center" vertical="center" shrinkToFi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1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1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23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23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7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7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11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11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1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1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2" fillId="5" borderId="1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2" fillId="5" borderId="1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1" xfId="0" applyNumberFormat="1" applyFont="1" applyFill="1" applyBorder="1" applyAlignment="1" applyProtection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1" xfId="0" applyNumberFormat="1" applyFont="1" applyFill="1" applyBorder="1" applyAlignment="1" applyProtection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8" fillId="0" borderId="1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8" fillId="0" borderId="1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4" fillId="20" borderId="1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4" fillId="20" borderId="1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3" fillId="0" borderId="1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3" fillId="0" borderId="1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6" fillId="0" borderId="8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6" fillId="0" borderId="8" xfId="0" applyNumberFormat="1" applyFont="1" applyBorder="1" applyAlignment="1">
          <x:alignment horizontal="center" vertical="center" wrapText="1"/>
        </x:xf>
      </mc:Fallback>
    </mc:AlternateContent>
  </x:cellXfs>
  <x:cellStyles count="3">
    <x:cellStyle name="표준" xfId="0" builtinId="0"/>
    <x:cellStyle name="표준 2" xfId="1"/>
    <x:cellStyle name="표준 3" xfId="2"/>
  </x:cellStyles>
  <x:dxfs count="12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x:dxf/>
    <x:dxf>
      <x:fill>
        <x:patternFill patternType="solid">
          <x:fgColor rgb="ffaebfea"/>
          <x:bgColor rgb="ffaebfea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Choice>
      <mc:Fallback>
        <x:dxf>
          <x:font>
            <x:color rgb="ff00000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Fallback>
    </mc:AlternateContent>
    <x:dxf>
      <x:fill>
        <x:patternFill patternType="solid">
          <x:fgColor rgb="ff94a5df"/>
          <x:bgColor rgb="ff94a5df"/>
        </x:patternFill>
      </x:fill>
      <x:border>
        <x:top style="thin">
          <x:color rgb="ff6182d6"/>
        </x:top>
        <x:bottom style="thin">
          <x:color rgb="ff6182d6"/>
        </x:bottom>
      </x:border>
    </x:dxf>
    <x:dxf>
      <x:fill>
        <x:patternFill patternType="solid">
          <x:fgColor rgb="ff6182d6"/>
          <x:bgColor rgb="ff6182d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</x:dxf>
      </mc:Choice>
      <mc:Fallback>
        <x:dxf>
          <x:font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top style="thin">
              <x:color rgb="ff6182d6"/>
            </x:top>
          </x:border>
        </x:dxf>
      </mc:Choice>
      <mc:Fallback>
        <x:dxf>
          <x:font>
            <x:b val="1"/>
          </x:font>
          <x:border>
            <x:top style="thin">
              <x:color rgb="ff6182d6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bottom style="medium">
              <x:color rgb="ff6182d6"/>
            </x:bottom>
          </x:border>
        </x:dxf>
      </mc:Choice>
      <mc:Fallback>
        <x:dxf>
          <x:font>
            <x:b val="1"/>
          </x:font>
          <x:border>
            <x:bottom style="medium">
              <x:color rgb="ff6182d6"/>
            </x:bottom>
          </x:border>
        </x:dxf>
      </mc:Fallback>
    </mc:AlternateContent>
  </x:dxfs>
  <x:tableStyles count="2" defaultTableStyle="Normal Style 1 - Accent 1" defaultPivotStyle="Light Style 1 - Accent 1">
    <x:tableStyle name="Normal Style 1 - Accent 1" pivot="0" table="1" count="9">
      <x:tableStyleElement type="wholeTable" size="1" dxfId="0"/>
      <x:tableStyleElement type="headerRow" size="1" dxfId="5"/>
      <x:tableStyleElement type="totalRow" size="1" dxfId="4"/>
      <x:tableStyleElement type="firstColumn" size="1" dxfId="3"/>
      <x:tableStyleElement type="lastColumn" size="1" dxfId="3"/>
      <x:tableStyleElement type="firstRowStripe" size="1" dxfId="2"/>
      <x:tableStyleElement type="secondRowStripe" size="1" dxfId="1"/>
      <x:tableStyleElement type="firstColumnStripe" size="1" dxfId="2"/>
      <x:tableStyleElement type="secondColumnStripe" size="1" dxfId="1"/>
    </x:tableStyle>
    <x:tableStyle name="Light Style 1 - Accent 1" pivot="1" table="0" count="8">
      <x:tableStyleElement type="wholeTable" size="1" dxfId="6"/>
      <x:tableStyleElement type="headerRow" size="1" dxfId="11"/>
      <x:tableStyleElement type="totalRow" size="1" dxfId="10"/>
      <x:tableStyleElement type="firstColumn" size="1" dxfId="9"/>
      <x:tableStyleElement type="lastColumn" size="1" dxfId="9"/>
      <x:tableStyleElement type="firstRowStripe" size="1" dxfId="7"/>
      <x:tableStyleElement type="secondRowStripe" size="1" dxfId="1"/>
      <x:tableStyleElement type="firstColumnStripe" size="1" dxfId="8"/>
    </x:tableStyle>
  </x:tableStyles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10" Type="http://schemas.openxmlformats.org/officeDocument/2006/relationships/worksheet" Target="worksheets/sheet7.xml"  /><Relationship Id="rId11" Type="http://schemas.openxmlformats.org/officeDocument/2006/relationships/worksheet" Target="worksheets/sheet8.xml"  /><Relationship Id="rId12" Type="http://schemas.openxmlformats.org/officeDocument/2006/relationships/worksheet" Target="worksheets/sheet9.xml"  /><Relationship Id="rId13" Type="http://schemas.openxmlformats.org/officeDocument/2006/relationships/worksheet" Target="worksheets/sheet10.xml"  /><Relationship Id="rId14" Type="http://schemas.openxmlformats.org/officeDocument/2006/relationships/worksheet" Target="worksheets/sheet11.xml"  /><Relationship Id="rId15" Type="http://schemas.openxmlformats.org/officeDocument/2006/relationships/worksheet" Target="worksheets/sheet12.xml"  /><Relationship Id="rId16" Type="http://schemas.openxmlformats.org/officeDocument/2006/relationships/worksheet" Target="worksheets/sheet13.xml"  /><Relationship Id="rId17" Type="http://schemas.openxmlformats.org/officeDocument/2006/relationships/worksheet" Target="worksheets/sheet14.xml"  /><Relationship Id="rId18" Type="http://schemas.openxmlformats.org/officeDocument/2006/relationships/externalLink" Target="externalLinks/externalLink1.xml"  /><Relationship Id="rId19" Type="http://schemas.openxmlformats.org/officeDocument/2006/relationships/externalLink" Target="externalLinks/externalLink2.xml"  /><Relationship Id="rId2" Type="http://schemas.openxmlformats.org/officeDocument/2006/relationships/styles" Target="styles.xml"  /><Relationship Id="rId20" Type="http://schemas.microsoft.com/office/2006/relationships/vbaProject" Target="vbaProject.bin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openxmlformats.org/officeDocument/2006/relationships/worksheet" Target="worksheets/sheet2.xml"  /><Relationship Id="rId6" Type="http://schemas.openxmlformats.org/officeDocument/2006/relationships/worksheet" Target="worksheets/sheet3.xml"  /><Relationship Id="rId7" Type="http://schemas.openxmlformats.org/officeDocument/2006/relationships/worksheet" Target="worksheets/sheet4.xml"  /><Relationship Id="rId8" Type="http://schemas.openxmlformats.org/officeDocument/2006/relationships/worksheet" Target="worksheets/sheet5.xml"  /><Relationship Id="rId9" Type="http://schemas.openxmlformats.org/officeDocument/2006/relationships/worksheet" Target="worksheets/sheet6.xml"  /></Relationships>
</file>

<file path=xl/drawings/_rels/drawing169.xml.rels><?xml version="1.0" encoding="UTF-8" standalone="yes" ?><Relationships xmlns="http://schemas.openxmlformats.org/package/2006/relationships"><Relationship Id="rId1" Type="http://schemas.openxmlformats.org/officeDocument/2006/relationships/image" Target="../media/image243.jpeg"  /></Relationships>
</file>

<file path=xl/drawings/_rels/drawing170.xml.rels><?xml version="1.0" encoding="UTF-8" standalone="yes" ?><Relationships xmlns="http://schemas.openxmlformats.org/package/2006/relationships"><Relationship Id="rId1" Type="http://schemas.openxmlformats.org/officeDocument/2006/relationships/image" Target="../media/image244.png"  /><Relationship Id="rId2" Type="http://schemas.openxmlformats.org/officeDocument/2006/relationships/image" Target="../media/image245.png"  /><Relationship Id="rId3" Type="http://schemas.openxmlformats.org/officeDocument/2006/relationships/image" Target="../media/image246.png"  /></Relationships>
</file>

<file path=xl/drawings/_rels/drawing171.xml.rels><?xml version="1.0" encoding="UTF-8" standalone="yes" ?><Relationships xmlns="http://schemas.openxmlformats.org/package/2006/relationships"><Relationship Id="rId1" Type="http://schemas.openxmlformats.org/officeDocument/2006/relationships/image" Target="../media/image247.jpeg"  /><Relationship Id="rId2" Type="http://schemas.openxmlformats.org/officeDocument/2006/relationships/image" Target="../media/image248.png"  /></Relationships>
</file>

<file path=xl/drawings/_rels/drawing172.xml.rels><?xml version="1.0" encoding="UTF-8" standalone="yes" ?><Relationships xmlns="http://schemas.openxmlformats.org/package/2006/relationships"><Relationship Id="rId1" Type="http://schemas.openxmlformats.org/officeDocument/2006/relationships/image" Target="../media/image247.jpeg"  /><Relationship Id="rId2" Type="http://schemas.openxmlformats.org/officeDocument/2006/relationships/image" Target="../media/image243.jpeg"  /><Relationship Id="rId3" Type="http://schemas.openxmlformats.org/officeDocument/2006/relationships/image" Target="../media/image249.png"  /><Relationship Id="rId4" Type="http://schemas.openxmlformats.org/officeDocument/2006/relationships/image" Target="../media/image249.png"  /></Relationships>
</file>

<file path=xl/drawings/_rels/drawing173.xml.rels><?xml version="1.0" encoding="UTF-8" standalone="yes" ?><Relationships xmlns="http://schemas.openxmlformats.org/package/2006/relationships"><Relationship Id="rId1" Type="http://schemas.openxmlformats.org/officeDocument/2006/relationships/image" Target="../media/image249.png"  /><Relationship Id="rId2" Type="http://schemas.openxmlformats.org/officeDocument/2006/relationships/image" Target="../media/image249.png"  /></Relationships>
</file>

<file path=xl/drawings/_rels/drawing174.xml.rels><?xml version="1.0" encoding="UTF-8" standalone="yes" ?><Relationships xmlns="http://schemas.openxmlformats.org/package/2006/relationships"><Relationship Id="rId1" Type="http://schemas.openxmlformats.org/officeDocument/2006/relationships/image" Target="../media/image247.jpeg"  /><Relationship Id="rId2" Type="http://schemas.openxmlformats.org/officeDocument/2006/relationships/image" Target="../media/image249.png"  /><Relationship Id="rId3" Type="http://schemas.openxmlformats.org/officeDocument/2006/relationships/image" Target="../media/image249.png"  /><Relationship Id="rId4" Type="http://schemas.openxmlformats.org/officeDocument/2006/relationships/image" Target="../media/image250.png"  /></Relationships>
</file>

<file path=xl/drawings/drawing169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 editAs="oneCell">
    <xdr:from>
      <xdr:col>27</xdr:col>
      <xdr:colOff>114300</xdr:colOff>
      <xdr:row>37</xdr:row>
      <xdr:rowOff>76200</xdr:rowOff>
    </xdr:from>
    <xdr:to>
      <xdr:col>31</xdr:col>
      <xdr:colOff>38100</xdr:colOff>
      <xdr:row>41</xdr:row>
      <xdr:rowOff>0</xdr:rowOff>
    </xdr:to>
    <xdr:pic macro="" fPublished="0">
      <xdr:nvPicPr>
        <xdr:cNvPr id="2" name="그림 2" descr="16"/>
        <xdr:cNvPicPr>
          <a:picLocks noChangeAspect="1"/>
        </xdr:cNvPicPr>
      </xdr:nvPicPr>
      <xdr:blipFill rotWithShape="1">
        <a:blip r:embed="rId1">
          <a:alphaModFix/>
        </a:blip>
        <a:srcRect/>
        <a:stretch>
          <a:fillRect/>
        </a:stretch>
      </xdr:blipFill>
      <xdr:spPr>
        <a:xfrm>
          <a:off x="18326100" y="7077074"/>
          <a:ext cx="1495425" cy="609600"/>
        </a:xfrm>
        <a:prstGeom prst="rect">
          <a:avLst/>
        </a:prstGeom>
        <a:noFill/>
        <a:ln w="9525" cap="flat" cmpd="sng">
          <a:noFill/>
          <a:prstDash val="solid"/>
          <a:miter/>
          <a:headEnd w="med" len="med"/>
          <a:tailEnd w="med" len="med"/>
        </a:ln>
      </xdr:spPr>
    </xdr:pic>
    <xdr:clientData fLocksWithSheet="1" fPrintsWithSheet="1"/>
  </xdr:twoCellAnchor>
</xdr:wsDr>
</file>

<file path=xl/drawings/drawing170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 editAs="oneCell">
    <xdr:from>
      <xdr:col>11</xdr:col>
      <xdr:colOff>333375</xdr:colOff>
      <xdr:row>44</xdr:row>
      <xdr:rowOff>38100</xdr:rowOff>
    </xdr:from>
    <xdr:to>
      <xdr:col>11</xdr:col>
      <xdr:colOff>762000</xdr:colOff>
      <xdr:row>45</xdr:row>
      <xdr:rowOff>0</xdr:rowOff>
    </xdr:to>
    <xdr:pic macro="" fPublished="0">
      <xdr:nvPicPr>
        <xdr:cNvPr id="3" name="그림 3"/>
        <xdr:cNvPicPr>
          <a:picLocks noChangeAspect="1"/>
        </xdr:cNvPicPr>
      </xdr:nvPicPr>
      <xdr:blipFill rotWithShape="1">
        <a:blip r:embed="rId1"/>
        <a:stretch>
          <a:fillRect/>
        </a:stretch>
      </xdr:blipFill>
      <xdr:spPr>
        <a:xfrm>
          <a:off x="9944100" y="12239625"/>
          <a:ext cx="428625" cy="219075"/>
        </a:xfrm>
        <a:prstGeom prst="rect">
          <a:avLst/>
        </a:prstGeom>
      </xdr:spPr>
    </xdr:pic>
    <xdr:clientData fLocksWithSheet="1" fPrintsWithSheet="1"/>
  </xdr:twoCellAnchor>
  <xdr:twoCellAnchor editAs="oneCell">
    <xdr:from>
      <xdr:col>7</xdr:col>
      <xdr:colOff>914400</xdr:colOff>
      <xdr:row>47</xdr:row>
      <xdr:rowOff>19050</xdr:rowOff>
    </xdr:from>
    <xdr:to>
      <xdr:col>9</xdr:col>
      <xdr:colOff>66675</xdr:colOff>
      <xdr:row>49</xdr:row>
      <xdr:rowOff>561975</xdr:rowOff>
    </xdr:to>
    <xdr:pic macro="" fPublished="0">
      <xdr:nvPicPr>
        <xdr:cNvPr id="5" name="그림 5"/>
        <xdr:cNvPicPr>
          <a:picLocks noChangeAspect="1"/>
        </xdr:cNvPicPr>
      </xdr:nvPicPr>
      <xdr:blipFill rotWithShape="1">
        <a:blip r:embed="rId2"/>
        <a:stretch>
          <a:fillRect/>
        </a:stretch>
      </xdr:blipFill>
      <xdr:spPr>
        <a:xfrm>
          <a:off x="6762750" y="13011149"/>
          <a:ext cx="1057275" cy="1009650"/>
        </a:xfrm>
        <a:prstGeom prst="rect">
          <a:avLst/>
        </a:prstGeom>
      </xdr:spPr>
    </xdr:pic>
    <xdr:clientData fLocksWithSheet="1" fPrintsWithSheet="1"/>
  </xdr:twoCellAnchor>
  <xdr:twoCellAnchor editAs="oneCell">
    <xdr:from>
      <xdr:col>10</xdr:col>
      <xdr:colOff>590550</xdr:colOff>
      <xdr:row>19</xdr:row>
      <xdr:rowOff>228600</xdr:rowOff>
    </xdr:from>
    <xdr:to>
      <xdr:col>11</xdr:col>
      <xdr:colOff>333375</xdr:colOff>
      <xdr:row>21</xdr:row>
      <xdr:rowOff>0</xdr:rowOff>
    </xdr:to>
    <xdr:pic macro="" fPublished="0">
      <xdr:nvPicPr>
        <xdr:cNvPr id="6" name="그림 6"/>
        <xdr:cNvPicPr/>
      </xdr:nvPicPr>
      <xdr:blipFill rotWithShape="1">
        <a:blip r:embed="rId3"/>
        <a:stretch>
          <a:fillRect/>
        </a:stretch>
      </xdr:blipFill>
      <xdr:spPr>
        <a:xfrm rot="314377">
          <a:off x="9324975" y="5524500"/>
          <a:ext cx="619125" cy="285750"/>
        </a:xfrm>
        <a:prstGeom prst="rect">
          <a:avLst/>
        </a:prstGeom>
      </xdr:spPr>
    </xdr:pic>
    <xdr:clientData fLocksWithSheet="1" fPrintsWithSheet="1"/>
  </xdr:twoCellAnchor>
</xdr:wsDr>
</file>

<file path=xl/drawings/drawing171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 editAs="oneCell">
    <xdr:from>
      <xdr:col>14</xdr:col>
      <xdr:colOff>342899</xdr:colOff>
      <xdr:row>0</xdr:row>
      <xdr:rowOff>190500</xdr:rowOff>
    </xdr:from>
    <xdr:to>
      <xdr:col>19</xdr:col>
      <xdr:colOff>381000</xdr:colOff>
      <xdr:row>3</xdr:row>
      <xdr:rowOff>0</xdr:rowOff>
    </xdr:to>
    <xdr:pic macro="" fPublished="0">
      <xdr:nvPicPr>
        <xdr:cNvPr id="2" name="그림 2" descr="12"/>
        <xdr:cNvPicPr>
          <a:picLocks noChangeAspect="1"/>
        </xdr:cNvPicPr>
      </xdr:nvPicPr>
      <xdr:blipFill rotWithShape="1">
        <a:blip r:embed="rId1">
          <a:alphaModFix/>
        </a:blip>
        <a:srcRect/>
        <a:stretch>
          <a:fillRect/>
        </a:stretch>
      </xdr:blipFill>
      <xdr:spPr>
        <a:xfrm>
          <a:off x="13515975" y="190500"/>
          <a:ext cx="3467100" cy="638175"/>
        </a:xfrm>
        <a:prstGeom prst="rect">
          <a:avLst/>
        </a:prstGeom>
        <a:noFill/>
        <a:ln w="9525" cap="flat" cmpd="sng">
          <a:noFill/>
          <a:prstDash val="solid"/>
          <a:miter/>
          <a:headEnd w="med" len="med"/>
          <a:tailEnd w="med" len="med"/>
        </a:ln>
      </xdr:spPr>
    </xdr:pic>
    <xdr:clientData fLocksWithSheet="1" fPrintsWithSheet="1"/>
  </xdr:twoCellAnchor>
  <xdr:twoCellAnchor editAs="oneCell">
    <xdr:from>
      <xdr:col>14</xdr:col>
      <xdr:colOff>342899</xdr:colOff>
      <xdr:row>7</xdr:row>
      <xdr:rowOff>152400</xdr:rowOff>
    </xdr:from>
    <xdr:to>
      <xdr:col>16</xdr:col>
      <xdr:colOff>304800</xdr:colOff>
      <xdr:row>9</xdr:row>
      <xdr:rowOff>76200</xdr:rowOff>
    </xdr:to>
    <xdr:pic macro="" fPublished="0">
      <xdr:nvPicPr>
        <xdr:cNvPr id="3" name="그림 3"/>
        <xdr:cNvPicPr>
          <a:picLocks noChangeAspect="1"/>
        </xdr:cNvPicPr>
      </xdr:nvPicPr>
      <xdr:blipFill rotWithShape="1">
        <a:blip r:embed="rId2"/>
        <a:stretch>
          <a:fillRect/>
        </a:stretch>
      </xdr:blipFill>
      <xdr:spPr>
        <a:xfrm>
          <a:off x="13515975" y="981075"/>
          <a:ext cx="1333500" cy="361950"/>
        </a:xfrm>
        <a:prstGeom prst="rect">
          <a:avLst/>
        </a:prstGeom>
      </xdr:spPr>
    </xdr:pic>
    <xdr:clientData fLocksWithSheet="1" fPrintsWithSheet="1"/>
  </xdr:twoCellAnchor>
</xdr:wsDr>
</file>

<file path=xl/drawings/drawing172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 editAs="oneCell">
    <xdr:from>
      <xdr:col>0</xdr:col>
      <xdr:colOff>114300</xdr:colOff>
      <xdr:row>15</xdr:row>
      <xdr:rowOff>190500</xdr:rowOff>
    </xdr:from>
    <xdr:to>
      <xdr:col>9</xdr:col>
      <xdr:colOff>152400</xdr:colOff>
      <xdr:row>15</xdr:row>
      <xdr:rowOff>838200</xdr:rowOff>
    </xdr:to>
    <xdr:pic macro="" fPublished="0">
      <xdr:nvPicPr>
        <xdr:cNvPr id="2" name="그림 2" descr="12"/>
        <xdr:cNvPicPr>
          <a:picLocks noChangeAspect="1"/>
        </xdr:cNvPicPr>
      </xdr:nvPicPr>
      <xdr:blipFill rotWithShape="1">
        <a:blip r:embed="rId1">
          <a:alphaModFix/>
        </a:blip>
        <a:srcRect/>
        <a:stretch>
          <a:fillRect/>
        </a:stretch>
      </xdr:blipFill>
      <xdr:spPr>
        <a:xfrm>
          <a:off x="114300" y="4029075"/>
          <a:ext cx="3429000" cy="647700"/>
        </a:xfrm>
        <a:prstGeom prst="rect">
          <a:avLst/>
        </a:prstGeom>
        <a:noFill/>
        <a:ln w="9525" cap="flat" cmpd="sng">
          <a:noFill/>
          <a:prstDash val="solid"/>
          <a:miter/>
          <a:headEnd w="med" len="med"/>
          <a:tailEnd w="med" len="med"/>
        </a:ln>
      </xdr:spPr>
    </xdr:pic>
    <xdr:clientData fLocksWithSheet="1" fPrintsWithSheet="1"/>
  </xdr:twoCellAnchor>
  <xdr:twoCellAnchor editAs="oneCell">
    <xdr:from>
      <xdr:col>2</xdr:col>
      <xdr:colOff>228600</xdr:colOff>
      <xdr:row>18</xdr:row>
      <xdr:rowOff>152400</xdr:rowOff>
    </xdr:from>
    <xdr:to>
      <xdr:col>8</xdr:col>
      <xdr:colOff>190500</xdr:colOff>
      <xdr:row>18</xdr:row>
      <xdr:rowOff>381000</xdr:rowOff>
    </xdr:to>
    <xdr:pic macro="" fPublished="0">
      <xdr:nvPicPr>
        <xdr:cNvPr id="3" name="그림 3" descr="16"/>
        <xdr:cNvPicPr>
          <a:picLocks noChangeAspect="1"/>
        </xdr:cNvPicPr>
      </xdr:nvPicPr>
      <xdr:blipFill rotWithShape="1">
        <a:blip r:embed="rId2">
          <a:alphaModFix/>
        </a:blip>
        <a:srcRect/>
        <a:stretch>
          <a:fillRect/>
        </a:stretch>
      </xdr:blipFill>
      <xdr:spPr>
        <a:xfrm>
          <a:off x="1819275" y="5362575"/>
          <a:ext cx="1504950" cy="228600"/>
        </a:xfrm>
        <a:prstGeom prst="rect">
          <a:avLst/>
        </a:prstGeom>
        <a:noFill/>
        <a:ln w="9525" cap="flat" cmpd="sng">
          <a:noFill/>
          <a:prstDash val="solid"/>
          <a:miter/>
          <a:headEnd w="med" len="med"/>
          <a:tailEnd w="med" len="med"/>
        </a:ln>
      </xdr:spPr>
    </xdr:pic>
    <xdr:clientData fLocksWithSheet="1" fPrintsWithSheet="1"/>
  </xdr:twoCellAnchor>
  <xdr:twoCellAnchor editAs="oneCell">
    <xdr:from>
      <xdr:col>22</xdr:col>
      <xdr:colOff>152400</xdr:colOff>
      <xdr:row>1</xdr:row>
      <xdr:rowOff>76200</xdr:rowOff>
    </xdr:from>
    <xdr:to>
      <xdr:col>24</xdr:col>
      <xdr:colOff>0</xdr:colOff>
      <xdr:row>1</xdr:row>
      <xdr:rowOff>304800</xdr:rowOff>
    </xdr:to>
    <xdr:pic macro="" fPublished="0">
      <xdr:nvPicPr>
        <xdr:cNvPr id="6" name="그림 6"/>
        <xdr:cNvPicPr>
          <a:picLocks noChangeAspect="1"/>
        </xdr:cNvPicPr>
      </xdr:nvPicPr>
      <xdr:blipFill rotWithShape="1">
        <a:blip r:embed="rId3"/>
        <a:stretch>
          <a:fillRect/>
        </a:stretch>
      </xdr:blipFill>
      <xdr:spPr>
        <a:xfrm>
          <a:off x="6886574" y="333375"/>
          <a:ext cx="609600" cy="228600"/>
        </a:xfrm>
        <a:prstGeom prst="rect">
          <a:avLst/>
        </a:prstGeom>
      </xdr:spPr>
    </xdr:pic>
    <xdr:clientData fLocksWithSheet="1" fPrintsWithSheet="1"/>
  </xdr:twoCellAnchor>
  <xdr:twoCellAnchor editAs="oneCell">
    <xdr:from>
      <xdr:col>24</xdr:col>
      <xdr:colOff>190500</xdr:colOff>
      <xdr:row>1</xdr:row>
      <xdr:rowOff>38100</xdr:rowOff>
    </xdr:from>
    <xdr:to>
      <xdr:col>25</xdr:col>
      <xdr:colOff>180975</xdr:colOff>
      <xdr:row>1</xdr:row>
      <xdr:rowOff>304800</xdr:rowOff>
    </xdr:to>
    <xdr:pic macro="" fPublished="0">
      <xdr:nvPicPr>
        <xdr:cNvPr id="7" name="그림 7"/>
        <xdr:cNvPicPr>
          <a:picLocks noChangeAspect="1"/>
        </xdr:cNvPicPr>
      </xdr:nvPicPr>
      <xdr:blipFill rotWithShape="1">
        <a:blip r:embed="rId4"/>
        <a:stretch>
          <a:fillRect/>
        </a:stretch>
      </xdr:blipFill>
      <xdr:spPr>
        <a:xfrm>
          <a:off x="7686674" y="295275"/>
          <a:ext cx="371475" cy="266700"/>
        </a:xfrm>
        <a:prstGeom prst="rect">
          <a:avLst/>
        </a:prstGeom>
      </xdr:spPr>
    </xdr:pic>
    <xdr:clientData fLocksWithSheet="1" fPrintsWithSheet="1"/>
  </xdr:twoCellAnchor>
</xdr:wsDr>
</file>

<file path=xl/drawings/drawing173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 editAs="oneCell">
    <xdr:from>
      <xdr:col>14</xdr:col>
      <xdr:colOff>76200</xdr:colOff>
      <xdr:row>1</xdr:row>
      <xdr:rowOff>142875</xdr:rowOff>
    </xdr:from>
    <xdr:to>
      <xdr:col>15</xdr:col>
      <xdr:colOff>495299</xdr:colOff>
      <xdr:row>1</xdr:row>
      <xdr:rowOff>609600</xdr:rowOff>
    </xdr:to>
    <xdr:pic macro="" fPublished="0">
      <xdr:nvPicPr>
        <xdr:cNvPr id="2" name="그림 2"/>
        <xdr:cNvPicPr>
          <a:picLocks noChangeAspect="1"/>
        </xdr:cNvPicPr>
      </xdr:nvPicPr>
      <xdr:blipFill rotWithShape="1">
        <a:blip r:embed="rId1"/>
        <a:stretch>
          <a:fillRect/>
        </a:stretch>
      </xdr:blipFill>
      <xdr:spPr>
        <a:xfrm>
          <a:off x="6467474" y="400050"/>
          <a:ext cx="942975" cy="466725"/>
        </a:xfrm>
        <a:prstGeom prst="rect">
          <a:avLst/>
        </a:prstGeom>
      </xdr:spPr>
    </xdr:pic>
    <xdr:clientData fLocksWithSheet="1" fPrintsWithSheet="1"/>
  </xdr:twoCellAnchor>
  <xdr:twoCellAnchor editAs="oneCell">
    <xdr:from>
      <xdr:col>16</xdr:col>
      <xdr:colOff>228600</xdr:colOff>
      <xdr:row>1</xdr:row>
      <xdr:rowOff>142875</xdr:rowOff>
    </xdr:from>
    <xdr:to>
      <xdr:col>17</xdr:col>
      <xdr:colOff>342899</xdr:colOff>
      <xdr:row>1</xdr:row>
      <xdr:rowOff>609600</xdr:rowOff>
    </xdr:to>
    <xdr:pic macro="" fPublished="0">
      <xdr:nvPicPr>
        <xdr:cNvPr id="3" name="그림 3"/>
        <xdr:cNvPicPr>
          <a:picLocks noChangeAspect="1"/>
        </xdr:cNvPicPr>
      </xdr:nvPicPr>
      <xdr:blipFill rotWithShape="1">
        <a:blip r:embed="rId2"/>
        <a:stretch>
          <a:fillRect/>
        </a:stretch>
      </xdr:blipFill>
      <xdr:spPr>
        <a:xfrm>
          <a:off x="7667625" y="400050"/>
          <a:ext cx="638175" cy="466725"/>
        </a:xfrm>
        <a:prstGeom prst="rect">
          <a:avLst/>
        </a:prstGeom>
      </xdr:spPr>
    </xdr:pic>
    <xdr:clientData fLocksWithSheet="1" fPrintsWithSheet="1"/>
  </xdr:twoCellAnchor>
</xdr:wsDr>
</file>

<file path=xl/drawings/drawing174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 editAs="oneCell">
    <xdr:from>
      <xdr:col>0</xdr:col>
      <xdr:colOff>114300</xdr:colOff>
      <xdr:row>15</xdr:row>
      <xdr:rowOff>190500</xdr:rowOff>
    </xdr:from>
    <xdr:to>
      <xdr:col>9</xdr:col>
      <xdr:colOff>152400</xdr:colOff>
      <xdr:row>15</xdr:row>
      <xdr:rowOff>838200</xdr:rowOff>
    </xdr:to>
    <xdr:pic macro="" fPublished="0">
      <xdr:nvPicPr>
        <xdr:cNvPr id="2" name="그림 2" descr="12"/>
        <xdr:cNvPicPr>
          <a:picLocks noChangeAspect="1"/>
        </xdr:cNvPicPr>
      </xdr:nvPicPr>
      <xdr:blipFill rotWithShape="1">
        <a:blip r:embed="rId1">
          <a:alphaModFix/>
        </a:blip>
        <a:srcRect/>
        <a:stretch>
          <a:fillRect/>
        </a:stretch>
      </xdr:blipFill>
      <xdr:spPr>
        <a:xfrm>
          <a:off x="114300" y="4000500"/>
          <a:ext cx="3429000" cy="647700"/>
        </a:xfrm>
        <a:prstGeom prst="rect">
          <a:avLst/>
        </a:prstGeom>
        <a:noFill/>
        <a:ln w="9525" cap="flat" cmpd="sng">
          <a:noFill/>
          <a:prstDash val="solid"/>
          <a:miter/>
          <a:headEnd w="med" len="med"/>
          <a:tailEnd w="med" len="med"/>
        </a:ln>
      </xdr:spPr>
    </xdr:pic>
    <xdr:clientData fLocksWithSheet="1" fPrintsWithSheet="1"/>
  </xdr:twoCellAnchor>
  <xdr:twoCellAnchor editAs="oneCell">
    <xdr:from>
      <xdr:col>22</xdr:col>
      <xdr:colOff>152400</xdr:colOff>
      <xdr:row>1</xdr:row>
      <xdr:rowOff>76200</xdr:rowOff>
    </xdr:from>
    <xdr:to>
      <xdr:col>24</xdr:col>
      <xdr:colOff>0</xdr:colOff>
      <xdr:row>1</xdr:row>
      <xdr:rowOff>304800</xdr:rowOff>
    </xdr:to>
    <xdr:pic macro="" fPublished="0">
      <xdr:nvPicPr>
        <xdr:cNvPr id="4" name="그림 6"/>
        <xdr:cNvPicPr>
          <a:picLocks noChangeAspect="1"/>
        </xdr:cNvPicPr>
      </xdr:nvPicPr>
      <xdr:blipFill rotWithShape="1">
        <a:blip r:embed="rId2"/>
        <a:stretch>
          <a:fillRect/>
        </a:stretch>
      </xdr:blipFill>
      <xdr:spPr>
        <a:xfrm>
          <a:off x="6962774" y="523875"/>
          <a:ext cx="609600" cy="228600"/>
        </a:xfrm>
        <a:prstGeom prst="rect">
          <a:avLst/>
        </a:prstGeom>
      </xdr:spPr>
    </xdr:pic>
    <xdr:clientData fLocksWithSheet="1" fPrintsWithSheet="1"/>
  </xdr:twoCellAnchor>
  <xdr:twoCellAnchor editAs="oneCell">
    <xdr:from>
      <xdr:col>24</xdr:col>
      <xdr:colOff>190500</xdr:colOff>
      <xdr:row>1</xdr:row>
      <xdr:rowOff>38100</xdr:rowOff>
    </xdr:from>
    <xdr:to>
      <xdr:col>25</xdr:col>
      <xdr:colOff>180975</xdr:colOff>
      <xdr:row>1</xdr:row>
      <xdr:rowOff>304800</xdr:rowOff>
    </xdr:to>
    <xdr:pic macro="" fPublished="0">
      <xdr:nvPicPr>
        <xdr:cNvPr id="5" name="그림 7"/>
        <xdr:cNvPicPr>
          <a:picLocks noChangeAspect="1"/>
        </xdr:cNvPicPr>
      </xdr:nvPicPr>
      <xdr:blipFill rotWithShape="1">
        <a:blip r:embed="rId3"/>
        <a:stretch>
          <a:fillRect/>
        </a:stretch>
      </xdr:blipFill>
      <xdr:spPr>
        <a:xfrm>
          <a:off x="7762874" y="485775"/>
          <a:ext cx="371475" cy="266700"/>
        </a:xfrm>
        <a:prstGeom prst="rect">
          <a:avLst/>
        </a:prstGeom>
      </xdr:spPr>
    </xdr:pic>
    <xdr:clientData fLocksWithSheet="1" fPrintsWithSheet="1"/>
  </xdr:twoCellAnchor>
  <xdr:twoCellAnchor editAs="oneCell">
    <xdr:from>
      <xdr:col>0</xdr:col>
      <xdr:colOff>266700</xdr:colOff>
      <xdr:row>17</xdr:row>
      <xdr:rowOff>381000</xdr:rowOff>
    </xdr:from>
    <xdr:to>
      <xdr:col>8</xdr:col>
      <xdr:colOff>190500</xdr:colOff>
      <xdr:row>17</xdr:row>
      <xdr:rowOff>1028700</xdr:rowOff>
    </xdr:to>
    <xdr:pic macro="" fPublished="0">
      <xdr:nvPicPr>
        <xdr:cNvPr id="10" name="그림 10"/>
        <xdr:cNvPicPr>
          <a:picLocks noChangeAspect="1"/>
        </xdr:cNvPicPr>
      </xdr:nvPicPr>
      <xdr:blipFill rotWithShape="1">
        <a:blip r:embed="rId4"/>
        <a:stretch>
          <a:fillRect/>
        </a:stretch>
      </xdr:blipFill>
      <xdr:spPr>
        <a:xfrm>
          <a:off x="266700" y="5353050"/>
          <a:ext cx="3057525" cy="647700"/>
        </a:xfrm>
        <a:prstGeom prst="rect">
          <a:avLst/>
        </a:prstGeom>
      </xdr:spPr>
    </xdr:pic>
    <xdr:clientData fLocksWithSheet="1" fPrintsWithSheet="1"/>
  </xdr:twoCellAnchor>
</xdr:wsDr>
</file>

<file path=xl/externalLinks/_rels/externalLink1.xml.rels><?xml version="1.0" encoding="UTF-8" standalone="yes" ?><Relationships xmlns="http://schemas.openxmlformats.org/package/2006/relationships"><Relationship Id="rId1" Type="http://schemas.openxmlformats.org/officeDocument/2006/relationships/externalLinkPath" Target="file:///Z:/HDD1/Data/IAQ/2026&#45380;/&#48516;&#49437;/HCHO/20260615%20HCHO/&#49884;&#54744;&#44592;&#47197;&#48512;(&#49892;&#45236;%20HCHO)-20260615.xlsx" TargetMode="External" /></Relationships>
</file>

<file path=xl/externalLinks/_rels/externalLink2.xml.rels><?xml version="1.0" encoding="UTF-8" standalone="yes" ?><Relationships xmlns="http://schemas.openxmlformats.org/package/2006/relationships"><Relationship Id="rId1" Type="http://schemas.openxmlformats.org/officeDocument/2006/relationships/externalLinkPath" Target="file:///Z:/HDD1/Data/IAQ/2026&#45380;/&#48516;&#49437;/VOC/20260615%20voc/&#49884;&#54744;&#44592;&#47197;&#48512;(&#49892;&#45236;_VOC)-20260615.xlsx" TargetMode="External" /></Relationships>
</file>

<file path=xl/externalLinks/externalLink1.xml><?xml version="1.0" encoding="utf-8"?>
<x:externalLink xmlns:r="http://schemas.openxmlformats.org/officeDocument/2006/relationships" xmlns:c="http://schemas.openxmlformats.org/drawingml/2006/chart" xmlns:x="http://schemas.openxmlformats.org/spreadsheetml/2006/main">
  <x:externalBook r:id="rId1">
    <x:sheetNames>
      <x:sheetName val="시험기록부"/>
      <x:sheetName val="시험기록부(시료채취 위치 및 시료번호)"/>
      <x:sheetName val="검량곡선"/>
      <x:sheetName val="분석결과시트"/>
    </x:sheetNames>
    <x:sheetDataSet>
      <x:sheetData sheetId="0" refreshError="0"/>
      <x:sheetData sheetId="1" refreshError="0"/>
      <x:sheetData sheetId="2" refreshError="0"/>
      <x:sheetData sheetId="3" refreshError="0">
        <x:row r="50">
          <x:cell r="D50">
            <x:v>28.577047358936689</x:v>
          </x:cell>
        </x:row>
        <x:row r="51">
          <x:cell r="D51">
            <x:v>26.227584291295798</x:v>
          </x:cell>
        </x:row>
        <x:row r="52">
          <x:cell r="D52">
            <x:v>7.7332291381190315</x:v>
          </x:cell>
        </x:row>
        <x:row r="53">
          <x:cell r="D53">
            <x:v>9.5305230731706221</x:v>
          </x:cell>
        </x:row>
        <x:row r="54">
          <x:cell r="D54">
            <x:v>14.303684869726011</x:v>
          </x:cell>
        </x:row>
        <x:row r="55">
          <x:cell r="D55">
            <x:v>16.788361941885899</x:v>
          </x:cell>
        </x:row>
      </x:sheetData>
    </x:sheetDataSet>
  </x:externalBook>
</x:externalLink>
</file>

<file path=xl/externalLinks/externalLink2.xml><?xml version="1.0" encoding="utf-8"?>
<x:externalLink xmlns:r="http://schemas.openxmlformats.org/officeDocument/2006/relationships" xmlns:c="http://schemas.openxmlformats.org/drawingml/2006/chart" xmlns:x="http://schemas.openxmlformats.org/spreadsheetml/2006/main">
  <x:externalBook r:id="rId1">
    <x:sheetNames>
      <x:sheetName val="시험기록부1"/>
      <x:sheetName val="시험기록부(시료채취 위치 및 시료번호)"/>
      <x:sheetName val="검량곡선 자료"/>
      <x:sheetName val="분석결과시트"/>
    </x:sheetNames>
    <x:sheetDataSet>
      <x:sheetData sheetId="0" refreshError="0"/>
      <x:sheetData sheetId="1" refreshError="0"/>
      <x:sheetData sheetId="2" refreshError="0"/>
      <x:sheetData sheetId="3" refreshError="0">
        <x:row r="10">
          <x:cell r="X10">
            <x:v>12.599521994407901</x:v>
          </x:cell>
        </x:row>
        <x:row r="11">
          <x:cell r="X11">
            <x:v>7.8918895662732664</x:v>
          </x:cell>
        </x:row>
        <x:row r="12">
          <x:cell r="X12">
            <x:v>6.838889008883589</x:v>
          </x:cell>
        </x:row>
        <x:row r="13">
          <x:cell r="X13">
            <x:v>6.062206451351539</x:v>
          </x:cell>
        </x:row>
        <x:row r="14">
          <x:cell r="X14">
            <x:v>6.5804780239227458</x:v>
          </x:cell>
        </x:row>
        <x:row r="15">
          <x:cell r="X15">
            <x:v>9.7124184541498693</x:v>
          </x:cell>
        </x:row>
        <x:row r="51">
          <x:cell r="E51">
            <x:v>155.85074710853817</x:v>
          </x:cell>
          <x:cell r="I51">
            <x:v>17.332717692440752</x:v>
          </x:cell>
          <x:cell r="N51">
            <x:v>20.658002632658775</x:v>
          </x:cell>
          <x:cell r="S51">
            <x:v>5.393401591349658</x:v>
          </x:cell>
          <x:cell r="AH51">
            <x:v>1.0812463118396591</x:v>
          </x:cell>
        </x:row>
        <x:row r="52">
          <x:cell r="E52">
            <x:v>150.27510466198262</x:v>
          </x:cell>
          <x:cell r="I52">
            <x:v>27.17270338417822</x:v>
          </x:cell>
          <x:cell r="N52">
            <x:v>18.671660841084371</x:v>
          </x:cell>
          <x:cell r="S52">
            <x:v>3.8468345877681003</x:v>
          </x:cell>
          <x:cell r="AH52">
            <x:v>0.85996291814298997</x:v>
          </x:cell>
        </x:row>
        <x:row r="53">
          <x:cell r="E53">
            <x:v>126.04542176616226</x:v>
          </x:cell>
          <x:cell r="I53">
            <x:v>24.340938948458433</x:v>
          </x:cell>
          <x:cell r="N53">
            <x:v>7.5893834290400202</x:v>
          </x:cell>
          <x:cell r="S53">
            <x:v>2.8931103696728173</x:v>
          </x:cell>
          <x:cell r="AH53">
            <x:v>0.49660870559804471</x:v>
          </x:cell>
        </x:row>
        <x:row r="54">
          <x:cell r="E54">
            <x:v>114.63926240710406</x:v>
          </x:cell>
          <x:cell r="I54">
            <x:v>21.788879147195534</x:v>
          </x:cell>
          <x:cell r="N54">
            <x:v>7.8424756427226354</x:v>
          </x:cell>
          <x:cell r="S54">
            <x:v>2.780353065279999</x:v>
          </x:cell>
          <x:cell r="AH54">
            <x:v>1.0224146867263504</x:v>
          </x:cell>
        </x:row>
        <x:row r="55">
          <x:cell r="E55">
            <x:v>116.77156937706951</x:v>
          </x:cell>
          <x:cell r="I55">
            <x:v>23.019175332709118</x:v>
          </x:cell>
          <x:cell r="N55">
            <x:v>10.445622820514615</x:v>
          </x:cell>
          <x:cell r="S55">
            <x:v>3.209681993269129</x:v>
          </x:cell>
          <x:cell r="AH55">
            <x:v>0.94087966173324877</x:v>
          </x:cell>
        </x:row>
        <x:row r="56">
          <x:cell r="E56">
            <x:v>141.58957404341547</x:v>
          </x:cell>
          <x:cell r="I56">
            <x:v>25.933928230297024</x:v>
          </x:cell>
          <x:cell r="N56">
            <x:v>12.927162419312991</x:v>
          </x:cell>
          <x:cell r="S56">
            <x:v>5.2266940320574484</x:v>
          </x:cell>
          <x:cell r="AH56">
            <x:v>1.4751260030720252</x:v>
          </x:cell>
        </x:row>
      </x:sheetData>
    </x:sheetDataSet>
  </x:externalBook>
</x:externalLink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">
  <a:themeElements>
    <a:clrScheme name="">
      <a:dk1>
        <a:sysClr val="windowText" lastClr="000000"/>
      </a:dk1>
      <a:lt1>
        <a:sysClr val="window" lastClr="ffffff"/>
      </a:lt1>
      <a:dk2>
        <a:srgbClr val="3a3c84"/>
      </a:dk2>
      <a:lt2>
        <a:srgbClr val="faf3db"/>
      </a:lt2>
      <a:accent1>
        <a:srgbClr val="6182d6"/>
      </a:accent1>
      <a:accent2>
        <a:srgbClr val="ff843a"/>
      </a:accent2>
      <a:accent3>
        <a:srgbClr val="b2b2b2"/>
      </a:accent3>
      <a:accent4>
        <a:srgbClr val="ffd700"/>
      </a:accent4>
      <a:accent5>
        <a:srgbClr val="289b6e"/>
      </a:accent5>
      <a:accent6>
        <a:srgbClr val="9d5cbb"/>
      </a:accent6>
      <a:hlink>
        <a:srgbClr val="0000ff"/>
      </a:hlink>
      <a:folHlink>
        <a:srgbClr val="800080"/>
      </a:folHlink>
    </a:clrScheme>
    <a:fontScheme name="">
      <a:majorFont>
        <a:latin typeface="맑은 고딕"/>
        <a:ea typeface="맑은 고딕"/>
        <a:cs typeface=""/>
      </a:majorFont>
      <a:minorFont>
        <a:latin typeface="맑은 고딕"/>
        <a:ea typeface="맑은 고딕"/>
        <a:cs typeface=""/>
      </a:minorFont>
    </a:fontScheme>
    <a:fmtScheme name="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</a:theme>
</file>

<file path=xl/worksheets/_rels/sheet2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169.xml"  /></Relationships>
</file>

<file path=xl/worksheets/_rels/sheet5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170.xml"  /><Relationship Id="rId2" Type="http://schemas.openxmlformats.org/officeDocument/2006/relationships/vmlDrawing" Target="../drawings/vmlDrawing1.vml"  /><Relationship Id="rId3" Type="http://schemas.openxmlformats.org/officeDocument/2006/relationships/comments" Target="../comments1.xml"  /></Relationships>
</file>

<file path=xl/worksheets/_rels/sheet8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171.xml"  /></Relationships>
</file>

<file path=xl/worksheets/_rels/sheet9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172.xml"  /></Relationships>
</file>

<file path=xl/worksheets/_rels/sheet11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173.xml"  /></Relationships>
</file>

<file path=xl/worksheets/_rels/sheet12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174.xml"  /></Relationships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>
    <x:tabColor rgb="ffff843a"/>
  </x:sheetPr>
  <x:dimension ref="A1:O17"/>
  <x:sheetViews>
    <x:sheetView view="pageBreakPreview" topLeftCell="A7" zoomScaleNormal="100" zoomScaleSheetLayoutView="100" workbookViewId="0">
      <x:selection activeCell="C5" activeCellId="0" sqref="C5:E5"/>
    </x:sheetView>
  </x:sheetViews>
  <x:sheetFormatPr defaultColWidth="9" defaultRowHeight="17.399999999999999"/>
  <x:cols>
    <x:col min="1" max="1" width="5.59765625" style="1" customWidth="1"/>
    <x:col min="2" max="2" width="13.5" style="1" customWidth="1"/>
    <x:col min="3" max="3" width="16" style="48" customWidth="1"/>
    <x:col min="4" max="4" width="16" style="107" customWidth="1"/>
    <x:col min="5" max="5" width="17.59765625" style="48" customWidth="1"/>
    <x:col min="6" max="6" width="16.8984375" style="48" customWidth="1"/>
    <x:col min="7" max="7" width="12" style="48" customWidth="1"/>
    <x:col min="8" max="8" width="11" style="48" customWidth="1"/>
    <x:col min="9" max="9" width="14.69921875" style="48" customWidth="1"/>
    <x:col min="10" max="10" width="13.09765625" style="48" customWidth="1"/>
    <x:col min="11" max="11" width="14.5" style="48" customWidth="1"/>
    <x:col min="12" max="13" width="9" style="1" bestFit="1" customWidth="1"/>
    <x:col min="14" max="14" width="30.69921875" style="1" customWidth="1"/>
    <x:col min="15" max="15" width="23.69921875" style="1" customWidth="1"/>
    <x:col min="16" max="17" width="14.3984375" style="1" customWidth="1"/>
    <x:col min="19" max="19" width="23.69921875" style="1" customWidth="1"/>
  </x:cols>
  <x:sheetData>
    <x:row r="1" spans="1:11" ht="60" customHeight="1">
      <x:c r="A1" s="580" t="s">
        <x:v>145</x:v>
      </x:c>
      <x:c r="B1" s="580"/>
      <x:c r="C1" s="580"/>
      <x:c r="D1" s="580"/>
      <x:c r="E1" s="580"/>
      <x:c r="F1" s="580"/>
      <x:c r="G1" s="580"/>
      <x:c r="H1" s="580"/>
      <x:c r="I1" s="580"/>
      <x:c r="J1" s="580"/>
      <x:c r="K1" s="580"/>
    </x:row>
    <x:row r="2" spans="2:15" ht="58.5" customHeight="1">
      <x:c r="B2" s="40" t="s">
        <x:v>484</x:v>
      </x:c>
      <x:c r="C2" s="581" t="s">
        <x:v>503</x:v>
      </x:c>
      <x:c r="D2" s="582"/>
      <x:c r="E2" s="583"/>
      <x:c r="F2" s="584" t="s">
        <x:v>282</x:v>
      </x:c>
      <x:c r="G2" s="585"/>
      <x:c r="H2" s="581" t="s">
        <x:v>298</x:v>
      </x:c>
      <x:c r="I2" s="582"/>
      <x:c r="J2" s="582"/>
      <x:c r="K2" s="583"/>
      <x:c r="O2" s="1" t="s">
        <x:v>21</x:v>
      </x:c>
    </x:row>
    <x:row r="3" spans="2:11" ht="58.5" customHeight="1">
      <x:c r="B3" s="41" t="s">
        <x:v>293</x:v>
      </x:c>
      <x:c r="C3" s="581" t="s">
        <x:v>320</x:v>
      </x:c>
      <x:c r="D3" s="582"/>
      <x:c r="E3" s="582"/>
      <x:c r="F3" s="582"/>
      <x:c r="G3" s="581"/>
      <x:c r="H3" s="582"/>
      <x:c r="I3" s="582"/>
      <x:c r="J3" s="582"/>
      <x:c r="K3" s="583"/>
    </x:row>
    <x:row r="4" spans="2:11" ht="58.5" customHeight="1">
      <x:c r="B4" s="41" t="s">
        <x:v>147</x:v>
      </x:c>
      <x:c r="C4" s="586" t="s">
        <x:v>311</x:v>
      </x:c>
      <x:c r="D4" s="587"/>
      <x:c r="E4" s="587"/>
      <x:c r="F4" s="588" t="s">
        <x:v>221</x:v>
      </x:c>
      <x:c r="G4" s="589"/>
      <x:c r="H4" s="41" t="s">
        <x:v>228</x:v>
      </x:c>
      <x:c r="I4" s="30">
        <x:v>33</x:v>
      </x:c>
      <x:c r="J4" s="41" t="s">
        <x:v>286</x:v>
      </x:c>
      <x:c r="K4" s="31">
        <x:v>31</x:v>
      </x:c>
    </x:row>
    <x:row r="5" spans="2:11" ht="58.5" customHeight="1">
      <x:c r="B5" s="41" t="s">
        <x:v>94</x:v>
      </x:c>
      <x:c r="C5" s="587" t="s">
        <x:v>395</x:v>
      </x:c>
      <x:c r="D5" s="587"/>
      <x:c r="E5" s="587"/>
      <x:c r="F5" s="588" t="s">
        <x:v>130</x:v>
      </x:c>
      <x:c r="G5" s="589"/>
      <x:c r="H5" s="581" t="s">
        <x:v>412</x:v>
      </x:c>
      <x:c r="I5" s="582"/>
      <x:c r="J5" s="582"/>
      <x:c r="K5" s="583"/>
    </x:row>
    <x:row r="6" spans="2:11" ht="58.5" customHeight="1">
      <x:c r="B6" s="590" t="s">
        <x:v>89</x:v>
      </x:c>
      <x:c r="C6" s="42" t="s">
        <x:v>309</x:v>
      </x:c>
      <x:c r="D6" s="44" t="s">
        <x:v>285</x:v>
      </x:c>
      <x:c r="E6" s="202" t="s">
        <x:v>204</x:v>
      </x:c>
      <x:c r="F6" s="588" t="s">
        <x:v>300</x:v>
      </x:c>
      <x:c r="G6" s="589"/>
      <x:c r="H6" s="38">
        <x:v>125</x:v>
      </x:c>
      <x:c r="I6" s="41" t="s">
        <x:v>257</x:v>
      </x:c>
      <x:c r="J6" s="587" t="s">
        <x:v>237</x:v>
      </x:c>
      <x:c r="K6" s="587"/>
    </x:row>
    <x:row r="7" spans="2:11" ht="58.5" customHeight="1">
      <x:c r="B7" s="591"/>
      <x:c r="C7" s="41" t="s">
        <x:v>251</x:v>
      </x:c>
      <x:c r="D7" s="45" t="s">
        <x:v>285</x:v>
      </x:c>
      <x:c r="E7" s="38" t="s">
        <x:v>204</x:v>
      </x:c>
      <x:c r="F7" s="588" t="s">
        <x:v>300</x:v>
      </x:c>
      <x:c r="G7" s="589"/>
      <x:c r="H7" s="38">
        <x:v>125</x:v>
      </x:c>
      <x:c r="I7" s="41" t="s">
        <x:v>270</x:v>
      </x:c>
      <x:c r="J7" s="587">
        <x:v>3</x:v>
      </x:c>
      <x:c r="K7" s="587"/>
    </x:row>
    <x:row r="8" spans="2:11" ht="58.5" customHeight="1">
      <x:c r="B8" s="592"/>
      <x:c r="C8" s="43" t="s">
        <x:v>244</x:v>
      </x:c>
      <x:c r="D8" s="46" t="s">
        <x:v>285</x:v>
      </x:c>
      <x:c r="E8" s="39" t="s">
        <x:v>204</x:v>
      </x:c>
      <x:c r="F8" s="588" t="s">
        <x:v>300</x:v>
      </x:c>
      <x:c r="G8" s="589"/>
      <x:c r="H8" s="38" t="s">
        <x:v>204</x:v>
      </x:c>
      <x:c r="I8" s="41" t="s">
        <x:v>254</x:v>
      </x:c>
      <x:c r="J8" s="587">
        <x:v>38</x:v>
      </x:c>
      <x:c r="K8" s="587"/>
    </x:row>
    <x:row r="9" spans="2:11" ht="58.5" customHeight="1">
      <x:c r="B9" s="41" t="s">
        <x:v>78</x:v>
      </x:c>
      <x:c r="C9" s="41" t="s">
        <x:v>299</x:v>
      </x:c>
      <x:c r="D9" s="38" t="s">
        <x:v>296</x:v>
      </x:c>
      <x:c r="E9" s="41" t="s">
        <x:v>226</x:v>
      </x:c>
      <x:c r="F9" s="581" t="s">
        <x:v>296</x:v>
      </x:c>
      <x:c r="G9" s="583"/>
      <x:c r="H9" s="41" t="s">
        <x:v>280</x:v>
      </x:c>
      <x:c r="I9" s="587" t="s">
        <x:v>301</x:v>
      </x:c>
      <x:c r="J9" s="587"/>
      <x:c r="K9" s="587"/>
    </x:row>
    <x:row r="10" spans="2:11" ht="58.5" customHeight="1">
      <x:c r="B10" s="41" t="s">
        <x:v>468</x:v>
      </x:c>
      <x:c r="C10" s="41" t="s">
        <x:v>222</x:v>
      </x:c>
      <x:c r="D10" s="38">
        <x:v>1</x:v>
      </x:c>
      <x:c r="E10" s="41" t="s">
        <x:v>277</x:v>
      </x:c>
      <x:c r="F10" s="581" t="s">
        <x:v>204</x:v>
      </x:c>
      <x:c r="G10" s="583"/>
      <x:c r="H10" s="41" t="s">
        <x:v>197</x:v>
      </x:c>
      <x:c r="I10" s="38" t="s">
        <x:v>250</x:v>
      </x:c>
      <x:c r="J10" s="41" t="s">
        <x:v>81</x:v>
      </x:c>
      <x:c r="K10" s="38" t="s">
        <x:v>204</x:v>
      </x:c>
    </x:row>
    <x:row r="11" spans="2:4" ht="58.5" customHeight="1">
      <x:c r="B11" s="48"/>
      <x:c r="D11" s="48"/>
    </x:row>
    <x:row r="12" spans="1:11" ht="58.5" customHeight="1">
      <x:c r="A12" s="580" t="s">
        <x:v>317</x:v>
      </x:c>
      <x:c r="B12" s="580"/>
      <x:c r="C12" s="580"/>
      <x:c r="D12" s="580"/>
      <x:c r="E12" s="580"/>
      <x:c r="F12" s="580"/>
      <x:c r="G12" s="580"/>
      <x:c r="H12" s="580"/>
      <x:c r="I12" s="580"/>
      <x:c r="J12" s="580"/>
      <x:c r="K12" s="580"/>
    </x:row>
    <x:row r="13" spans="2:11" ht="58.5" customHeight="1">
      <x:c r="B13" s="41" t="s">
        <x:v>69</x:v>
      </x:c>
      <x:c r="C13" s="593" t="s">
        <x:v>481</x:v>
      </x:c>
      <x:c r="D13" s="587"/>
      <x:c r="E13" s="587"/>
      <x:c r="F13" s="594" t="s">
        <x:v>104</x:v>
      </x:c>
      <x:c r="G13" s="594"/>
      <x:c r="H13" s="594"/>
      <x:c r="I13" s="587" t="s">
        <x:v>404</x:v>
      </x:c>
      <x:c r="J13" s="587"/>
      <x:c r="K13" s="587"/>
    </x:row>
    <x:row r="14" spans="2:11" ht="58.5" customHeight="1">
      <x:c r="B14" s="41" t="s">
        <x:v>92</x:v>
      </x:c>
      <x:c r="C14" s="587" t="s">
        <x:v>345</x:v>
      </x:c>
      <x:c r="D14" s="587"/>
      <x:c r="E14" s="587"/>
      <x:c r="F14" s="587"/>
      <x:c r="G14" s="587"/>
      <x:c r="H14" s="587"/>
      <x:c r="I14" s="587"/>
      <x:c r="J14" s="587"/>
      <x:c r="K14" s="587"/>
    </x:row>
    <x:row r="15" spans="2:11" ht="58.5" customHeight="1">
      <x:c r="B15" s="41" t="s">
        <x:v>92</x:v>
      </x:c>
      <x:c r="C15" s="38" t="s">
        <x:v>302</x:v>
      </x:c>
      <x:c r="D15" s="587" t="s">
        <x:v>360</x:v>
      </x:c>
      <x:c r="E15" s="587"/>
      <x:c r="F15" s="594" t="s">
        <x:v>268</x:v>
      </x:c>
      <x:c r="G15" s="594"/>
      <x:c r="H15" s="594"/>
      <x:c r="I15" s="587" t="s">
        <x:v>267</x:v>
      </x:c>
      <x:c r="J15" s="587"/>
      <x:c r="K15" s="587"/>
    </x:row>
    <x:row r="16" spans="2:11" ht="58.5" customHeight="1">
      <x:c r="B16" s="590" t="s">
        <x:v>131</x:v>
      </x:c>
      <x:c r="C16" s="41" t="s">
        <x:v>236</x:v>
      </x:c>
      <x:c r="D16" s="41" t="s">
        <x:v>272</x:v>
      </x:c>
      <x:c r="E16" s="41" t="s">
        <x:v>247</x:v>
      </x:c>
      <x:c r="F16" s="41" t="s">
        <x:v>227</x:v>
      </x:c>
      <x:c r="G16" s="41" t="s">
        <x:v>242</x:v>
      </x:c>
      <x:c r="H16" s="41" t="s">
        <x:v>27</x:v>
      </x:c>
      <x:c r="I16" s="41" t="s">
        <x:v>30</x:v>
      </x:c>
      <x:c r="J16" s="41" t="s">
        <x:v>210</x:v>
      </x:c>
      <x:c r="K16" s="41" t="s">
        <x:v>100</x:v>
      </x:c>
    </x:row>
    <x:row r="17" spans="2:11" ht="58.5" customHeight="1">
      <x:c r="B17" s="592"/>
      <x:c r="C17" s="38">
        <x:v>27.199999999999999</x:v>
      </x:c>
      <x:c r="D17" s="38">
        <x:v>40.600000000000001</x:v>
      </x:c>
      <x:c r="E17" s="38">
        <x:v>1005.2</x:v>
      </x:c>
      <x:c r="F17" s="38">
        <x:v>51.200000000000003</x:v>
      </x:c>
      <x:c r="G17" s="38">
        <x:v>429</x:v>
      </x:c>
      <x:c r="H17" s="38">
        <x:v>26</x:v>
      </x:c>
      <x:c r="I17" s="38">
        <x:v>24</x:v>
      </x:c>
      <x:c r="J17" s="141">
        <x:v>0.053000000000000003</x:v>
      </x:c>
      <x:c r="K17" s="38" t="s">
        <x:v>303</x:v>
      </x:c>
    </x:row>
    <x:row r="18" ht="24.75" customHeight="1"/>
    <x:row r="19" ht="24.75" customHeight="1"/>
  </x:sheetData>
  <x:mergeCells count="29">
    <x:mergeCell ref="A1:K1"/>
    <x:mergeCell ref="C2:E2"/>
    <x:mergeCell ref="F2:G2"/>
    <x:mergeCell ref="H2:K2"/>
    <x:mergeCell ref="C3:K3"/>
    <x:mergeCell ref="C4:E4"/>
    <x:mergeCell ref="F4:G4"/>
    <x:mergeCell ref="C5:E5"/>
    <x:mergeCell ref="F5:G5"/>
    <x:mergeCell ref="H5:K5"/>
    <x:mergeCell ref="B6:B8"/>
    <x:mergeCell ref="F6:G6"/>
    <x:mergeCell ref="J6:K6"/>
    <x:mergeCell ref="F7:G7"/>
    <x:mergeCell ref="J7:K7"/>
    <x:mergeCell ref="F8:G8"/>
    <x:mergeCell ref="J8:K8"/>
    <x:mergeCell ref="F9:G9"/>
    <x:mergeCell ref="I9:K9"/>
    <x:mergeCell ref="F10:G10"/>
    <x:mergeCell ref="A12:K12"/>
    <x:mergeCell ref="C13:E13"/>
    <x:mergeCell ref="F13:H13"/>
    <x:mergeCell ref="I13:K13"/>
    <x:mergeCell ref="C14:K14"/>
    <x:mergeCell ref="D15:E15"/>
    <x:mergeCell ref="F15:H15"/>
    <x:mergeCell ref="I15:K15"/>
    <x:mergeCell ref="B16:B17"/>
  </x:mergeCells>
  <x:dataValidations count="4">
    <x:dataValidation type="list" operator="equal" allowBlank="1" showInputMessage="1" showErrorMessage="1" sqref="J6:K6">
      <x:formula1>'드롭다운 메뉴_지우지말것!'!$A$2:$A$4</x:formula1>
    </x:dataValidation>
    <x:dataValidation type="list" operator="equal" allowBlank="1" showInputMessage="1" showErrorMessage="1" sqref="K17:K17">
      <x:formula1>'드롭다운 메뉴_지우지말것!'!$C$2:$C$4</x:formula1>
    </x:dataValidation>
    <x:dataValidation type="list" operator="equal" allowBlank="1" showInputMessage="1" showErrorMessage="1" sqref="D9:D9 F9:F9 I10:I10">
      <x:formula1>'드롭다운 메뉴_지우지말것!'!$B$2:$B$3</x:formula1>
    </x:dataValidation>
    <x:dataValidation type="list" operator="equal" allowBlank="1" showInputMessage="1" showErrorMessage="1" sqref="I15:K15">
      <x:formula1>'드롭다운 메뉴_지우지말것!'!$G$2:$G$6</x:formula1>
    </x:dataValidation>
  </x:dataValidations>
  <x:pageMargins left="0.74805557727813721" right="0.74805557727813721" top="0.98430556058883667" bottom="0.98430556058883667" header="0.51138889789581299" footer="0.51138889789581299"/>
  <x:pageSetup paperSize="9" scale="52" firstPageNumber="1" fitToWidth="0" fitToHeight="0" orientation="portrait" usePrinterDefaults="1" blackAndWhite="0" draft="0" useFirstPageNumber="0" horizontalDpi="600" verticalDpi="600" copies="1"/>
  <x:rowBreaks count="1" manualBreakCount="1">
    <x:brk id="18" min="0" max="1048575" man="1" pt="0"/>
  </x:rowBreaks>
  <x:colBreaks count="1" manualBreakCount="1">
    <x:brk id="11" min="0" max="16383" man="1" pt="0"/>
  </x:colBreaks>
</x:worksheet>
</file>

<file path=xl/worksheets/sheet2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6"/>
  <x:dimension ref="A1:AQ157"/>
  <x:sheetViews>
    <x:sheetView view="pageBreakPreview" topLeftCell="A70" zoomScaleNormal="100" zoomScaleSheetLayoutView="100" workbookViewId="0">
      <x:selection activeCell="I85" activeCellId="0" sqref="I85:J85"/>
    </x:sheetView>
  </x:sheetViews>
  <x:sheetFormatPr defaultColWidth="9" defaultRowHeight="13.199999999999999"/>
  <x:cols>
    <x:col min="1" max="1" width="16.5" style="149" customWidth="1"/>
    <x:col min="2" max="2" width="16.19921875" style="150" customWidth="1"/>
    <x:col min="3" max="3" width="16.59765625" style="150" customWidth="1"/>
    <x:col min="4" max="4" width="9.8984375" style="150" customWidth="1"/>
    <x:col min="5" max="5" width="7.69921875" style="150" customWidth="1"/>
    <x:col min="6" max="6" width="7.19921875" style="150" customWidth="1"/>
    <x:col min="7" max="11" width="5" style="149" customWidth="1"/>
    <x:col min="12" max="12" width="7.59765625" style="149" customWidth="1"/>
    <x:col min="13" max="14" width="5" style="149" customWidth="1"/>
    <x:col min="15" max="15" width="11" style="149" customWidth="1"/>
    <x:col min="16" max="16" width="13" style="149" customWidth="1"/>
    <x:col min="17" max="17" width="13" style="150" customWidth="1"/>
    <x:col min="18" max="18" width="14.69921875" style="151" bestFit="1" customWidth="1"/>
    <x:col min="19" max="19" width="12.5" style="151" bestFit="1" customWidth="1"/>
    <x:col min="20" max="20" width="10.8984375" style="151" customWidth="1"/>
    <x:col min="21" max="21" width="13.5" style="149" customWidth="1"/>
    <x:col min="22" max="22" width="4.19921875" style="149" customWidth="1"/>
    <x:col min="23" max="24" width="3.69921875" style="149" customWidth="1"/>
    <x:col min="25" max="25" width="6.3984375" style="149" customWidth="1"/>
    <x:col min="26" max="26" width="11.59765625" style="149" customWidth="1"/>
    <x:col min="27" max="29" width="3.69921875" style="149" customWidth="1"/>
    <x:col min="30" max="30" width="4.59765625" style="149" customWidth="1"/>
    <x:col min="31" max="32" width="8.5" style="149" customWidth="1"/>
    <x:col min="33" max="33" width="5.69921875" style="149" customWidth="1"/>
    <x:col min="34" max="34" width="1.09765625" style="149" customWidth="1"/>
    <x:col min="35" max="36" width="3.5" style="149" customWidth="1"/>
    <x:col min="37" max="37" width="5.69921875" style="149" customWidth="1"/>
    <x:col min="38" max="38" width="11.59765625" style="149" customWidth="1"/>
    <x:col min="39" max="39" width="11.5" style="149" bestFit="1" customWidth="1"/>
    <x:col min="40" max="40" width="10.8984375" style="149" bestFit="1" customWidth="1"/>
    <x:col min="41" max="16384" width="9" style="149"/>
  </x:cols>
  <x:sheetData>
    <x:row r="1" spans="1:2">
      <x:c r="A1" s="149" t="s">
        <x:v>290</x:v>
      </x:c>
      <x:c r="B1" s="150" t="s">
        <x:v>213</x:v>
      </x:c>
    </x:row>
    <x:row r="2" spans="1:20">
      <x:c r="A2" s="595" t="s">
        <x:v>167</x:v>
      </x:c>
      <x:c r="B2" s="598" t="s">
        <x:v>168</x:v>
      </x:c>
      <x:c r="C2" s="598"/>
      <x:c r="D2" s="599" t="s">
        <x:v>256</x:v>
      </x:c>
      <x:c r="E2" s="598" t="s">
        <x:v>126</x:v>
      </x:c>
      <x:c r="F2" s="598"/>
      <x:c r="G2" s="598"/>
      <x:c r="H2" s="598"/>
      <x:c r="I2" s="598"/>
      <x:c r="J2" s="598"/>
      <x:c r="K2" s="598"/>
      <x:c r="L2" s="598"/>
      <x:c r="M2" s="598"/>
      <x:c r="N2" s="602"/>
      <x:c r="O2" s="603" t="s">
        <x:v>48</x:v>
      </x:c>
      <x:c r="P2" s="304"/>
      <x:c r="Q2" s="207"/>
      <x:c r="R2" s="606" t="s">
        <x:v>235</x:v>
      </x:c>
      <x:c r="S2" s="609" t="s">
        <x:v>202</x:v>
      </x:c>
      <x:c r="T2" s="612" t="s">
        <x:v>200</x:v>
      </x:c>
    </x:row>
    <x:row r="3" spans="1:20">
      <x:c r="A3" s="596"/>
      <x:c r="B3" s="615" t="s">
        <x:v>141</x:v>
      </x:c>
      <x:c r="C3" s="615" t="s">
        <x:v>128</x:v>
      </x:c>
      <x:c r="D3" s="600"/>
      <x:c r="E3" s="616" t="s">
        <x:v>297</x:v>
      </x:c>
      <x:c r="F3" s="616"/>
      <x:c r="G3" s="616"/>
      <x:c r="H3" s="616"/>
      <x:c r="I3" s="616"/>
      <x:c r="J3" s="616"/>
      <x:c r="K3" s="616"/>
      <x:c r="L3" s="616"/>
      <x:c r="M3" s="616" t="s">
        <x:v>247</x:v>
      </x:c>
      <x:c r="N3" s="618"/>
      <x:c r="O3" s="604"/>
      <x:c r="P3" s="305"/>
      <x:c r="Q3" s="208"/>
      <x:c r="R3" s="607"/>
      <x:c r="S3" s="610"/>
      <x:c r="T3" s="613"/>
    </x:row>
    <x:row r="4" spans="1:20">
      <x:c r="A4" s="597"/>
      <x:c r="B4" s="601"/>
      <x:c r="C4" s="601"/>
      <x:c r="D4" s="601"/>
      <x:c r="E4" s="617"/>
      <x:c r="F4" s="617"/>
      <x:c r="G4" s="617"/>
      <x:c r="H4" s="617"/>
      <x:c r="I4" s="617"/>
      <x:c r="J4" s="617"/>
      <x:c r="K4" s="617"/>
      <x:c r="L4" s="617"/>
      <x:c r="M4" s="617"/>
      <x:c r="N4" s="619"/>
      <x:c r="O4" s="605"/>
      <x:c r="P4" s="306"/>
      <x:c r="Q4" s="209"/>
      <x:c r="R4" s="608"/>
      <x:c r="S4" s="611"/>
      <x:c r="T4" s="614"/>
    </x:row>
    <x:row r="5" spans="1:20" ht="12.449999999999999" customHeight="1">
      <x:c r="A5" s="620" t="s">
        <x:v>236</x:v>
      </x:c>
      <x:c r="B5" s="334" t="s">
        <x:v>493</x:v>
      </x:c>
      <x:c r="C5" s="334" t="s">
        <x:v>402</x:v>
      </x:c>
      <x:c r="D5" s="89">
        <x:v>3</x:v>
      </x:c>
      <x:c r="E5" s="623">
        <x:v>25.800000000000001</x:v>
      </x:c>
      <x:c r="F5" s="624"/>
      <x:c r="G5" s="623">
        <x:v>25.199999999999999</x:v>
      </x:c>
      <x:c r="H5" s="625"/>
      <x:c r="I5" s="624"/>
      <x:c r="J5" s="623">
        <x:v>25.5</x:v>
      </x:c>
      <x:c r="K5" s="625"/>
      <x:c r="L5" s="624"/>
      <x:c r="M5" s="623">
        <x:v>1004</x:v>
      </x:c>
      <x:c r="N5" s="624"/>
      <x:c r="O5" s="343" t="s">
        <x:v>504</x:v>
      </x:c>
      <x:c r="P5" s="219"/>
      <x:c r="Q5" s="219">
        <x:v>0</x:v>
      </x:c>
      <x:c r="R5" s="223">
        <x:f t="shared" ref="R5:R18" si="0">MIN(E5:L5)</x:f>
        <x:v>25.199999999999999</x:v>
      </x:c>
      <x:c r="S5" s="181">
        <x:f t="shared" ref="S5:S18" si="1">MAX(E5:L5)</x:f>
        <x:v>25.800000000000001</x:v>
      </x:c>
      <x:c r="T5" s="171">
        <x:f t="shared" ref="T5:T18" si="2">AVERAGE(E5:L5)</x:f>
        <x:v>25.5</x:v>
      </x:c>
    </x:row>
    <x:row r="6" spans="1:20">
      <x:c r="A6" s="621"/>
      <x:c r="B6" s="335" t="s">
        <x:v>172</x:v>
      </x:c>
      <x:c r="C6" s="335" t="s">
        <x:v>408</x:v>
      </x:c>
      <x:c r="D6" s="88">
        <x:v>3</x:v>
      </x:c>
      <x:c r="E6" s="626">
        <x:v>24.899999999999999</x:v>
      </x:c>
      <x:c r="F6" s="627"/>
      <x:c r="G6" s="626">
        <x:v>25.100000000000001</x:v>
      </x:c>
      <x:c r="H6" s="628"/>
      <x:c r="I6" s="627"/>
      <x:c r="J6" s="626">
        <x:v>25.300000000000001</x:v>
      </x:c>
      <x:c r="K6" s="628"/>
      <x:c r="L6" s="627"/>
      <x:c r="M6" s="626">
        <x:v>1004.3</x:v>
      </x:c>
      <x:c r="N6" s="627"/>
      <x:c r="O6" s="344"/>
      <x:c r="P6" s="213"/>
      <x:c r="Q6" s="213">
        <x:v>0</x:v>
      </x:c>
      <x:c r="R6" s="224">
        <x:f t="shared" si="0"/>
        <x:v>24.899999999999999</x:v>
      </x:c>
      <x:c r="S6" s="183">
        <x:f t="shared" si="1"/>
        <x:v>25.300000000000001</x:v>
      </x:c>
      <x:c r="T6" s="173">
        <x:f t="shared" si="2"/>
        <x:v>25.099999999999998</x:v>
      </x:c>
    </x:row>
    <x:row r="7" spans="1:20" ht="12.449999999999999" customHeight="1">
      <x:c r="A7" s="621"/>
      <x:c r="B7" s="335" t="s">
        <x:v>407</x:v>
      </x:c>
      <x:c r="C7" s="335" t="s">
        <x:v>394</x:v>
      </x:c>
      <x:c r="D7" s="92">
        <x:v>3</x:v>
      </x:c>
      <x:c r="E7" s="626">
        <x:v>26.199999999999999</x:v>
      </x:c>
      <x:c r="F7" s="627"/>
      <x:c r="G7" s="626">
        <x:v>25.699999999999999</x:v>
      </x:c>
      <x:c r="H7" s="628"/>
      <x:c r="I7" s="627"/>
      <x:c r="J7" s="626">
        <x:v>25.300000000000001</x:v>
      </x:c>
      <x:c r="K7" s="628"/>
      <x:c r="L7" s="627"/>
      <x:c r="M7" s="626">
        <x:v>1005.3</x:v>
      </x:c>
      <x:c r="N7" s="627"/>
      <x:c r="O7" s="344"/>
      <x:c r="P7" s="213"/>
      <x:c r="Q7" s="213" t="s">
        <x:v>204</x:v>
      </x:c>
      <x:c r="R7" s="224">
        <x:f t="shared" si="0"/>
        <x:v>25.300000000000001</x:v>
      </x:c>
      <x:c r="S7" s="183">
        <x:f t="shared" si="1"/>
        <x:v>26.199999999999999</x:v>
      </x:c>
      <x:c r="T7" s="173">
        <x:f t="shared" si="2"/>
        <x:v>25.733333333333334</x:v>
      </x:c>
    </x:row>
    <x:row r="8" spans="1:21">
      <x:c r="A8" s="621"/>
      <x:c r="B8" s="369"/>
      <x:c r="C8" s="369"/>
      <x:c r="D8" s="369">
        <x:v>3</x:v>
      </x:c>
      <x:c r="E8" s="629"/>
      <x:c r="F8" s="630"/>
      <x:c r="G8" s="629"/>
      <x:c r="H8" s="631"/>
      <x:c r="I8" s="630"/>
      <x:c r="J8" s="629"/>
      <x:c r="K8" s="631"/>
      <x:c r="L8" s="630"/>
      <x:c r="M8" s="629"/>
      <x:c r="N8" s="630"/>
      <x:c r="O8" s="370"/>
      <x:c r="P8" s="371"/>
      <x:c r="Q8" s="371" t="s">
        <x:v>204</x:v>
      </x:c>
      <x:c r="R8" s="372">
        <x:f t="shared" si="0"/>
        <x:v>0</x:v>
      </x:c>
      <x:c r="S8" s="373">
        <x:f t="shared" si="1"/>
        <x:v>0</x:v>
      </x:c>
      <x:c r="T8" s="374" t="e">
        <x:f t="shared" si="2"/>
        <x:v>#DIV/0!</x:v>
      </x:c>
      <x:c r="U8" s="375" t="s">
        <x:v>137</x:v>
      </x:c>
    </x:row>
    <x:row r="9" spans="1:21">
      <x:c r="A9" s="621"/>
      <x:c r="B9" s="348" t="s">
        <x:v>502</x:v>
      </x:c>
      <x:c r="C9" s="348" t="s">
        <x:v>406</x:v>
      </x:c>
      <x:c r="D9" s="348">
        <x:v>1</x:v>
      </x:c>
      <x:c r="E9" s="632">
        <x:v>26.600000000000001</x:v>
      </x:c>
      <x:c r="F9" s="633"/>
      <x:c r="G9" s="632"/>
      <x:c r="H9" s="634"/>
      <x:c r="I9" s="633"/>
      <x:c r="J9" s="632"/>
      <x:c r="K9" s="634"/>
      <x:c r="L9" s="633"/>
      <x:c r="M9" s="632">
        <x:v>1005.5</x:v>
      </x:c>
      <x:c r="N9" s="633"/>
      <x:c r="O9" s="349"/>
      <x:c r="P9" s="350"/>
      <x:c r="Q9" s="350">
        <x:v>0</x:v>
      </x:c>
      <x:c r="R9" s="351">
        <x:f t="shared" si="0"/>
        <x:v>26.600000000000001</x:v>
      </x:c>
      <x:c r="S9" s="352">
        <x:f t="shared" si="1"/>
        <x:v>26.600000000000001</x:v>
      </x:c>
      <x:c r="T9" s="353">
        <x:f t="shared" si="2"/>
        <x:v>26.600000000000001</x:v>
      </x:c>
      <x:c r="U9" s="635" t="s">
        <x:v>149</x:v>
      </x:c>
    </x:row>
    <x:row r="10" spans="1:21">
      <x:c r="A10" s="621"/>
      <x:c r="B10" s="348" t="s">
        <x:v>505</x:v>
      </x:c>
      <x:c r="C10" s="348" t="s">
        <x:v>398</x:v>
      </x:c>
      <x:c r="D10" s="348">
        <x:v>1</x:v>
      </x:c>
      <x:c r="E10" s="632">
        <x:v>25.399999999999999</x:v>
      </x:c>
      <x:c r="F10" s="633"/>
      <x:c r="G10" s="632"/>
      <x:c r="H10" s="634"/>
      <x:c r="I10" s="633"/>
      <x:c r="J10" s="632"/>
      <x:c r="K10" s="634"/>
      <x:c r="L10" s="633"/>
      <x:c r="M10" s="632">
        <x:v>1005.4</x:v>
      </x:c>
      <x:c r="N10" s="633"/>
      <x:c r="O10" s="349"/>
      <x:c r="P10" s="350"/>
      <x:c r="Q10" s="350">
        <x:v>0</x:v>
      </x:c>
      <x:c r="R10" s="354">
        <x:f t="shared" si="0"/>
        <x:v>25.399999999999999</x:v>
      </x:c>
      <x:c r="S10" s="354">
        <x:f t="shared" si="1"/>
        <x:v>25.399999999999999</x:v>
      </x:c>
      <x:c r="T10" s="354">
        <x:f t="shared" si="2"/>
        <x:v>25.399999999999999</x:v>
      </x:c>
      <x:c r="U10" s="635"/>
    </x:row>
    <x:row r="11" spans="1:21">
      <x:c r="A11" s="622"/>
      <x:c r="B11" s="355" t="s">
        <x:v>106</x:v>
      </x:c>
      <x:c r="C11" s="355" t="s">
        <x:v>397</x:v>
      </x:c>
      <x:c r="D11" s="355">
        <x:v>1</x:v>
      </x:c>
      <x:c r="E11" s="636">
        <x:v>24.300000000000001</x:v>
      </x:c>
      <x:c r="F11" s="637"/>
      <x:c r="G11" s="636"/>
      <x:c r="H11" s="638"/>
      <x:c r="I11" s="637"/>
      <x:c r="J11" s="636"/>
      <x:c r="K11" s="638"/>
      <x:c r="L11" s="637"/>
      <x:c r="M11" s="636">
        <x:v>1005.7</x:v>
      </x:c>
      <x:c r="N11" s="637"/>
      <x:c r="O11" s="356"/>
      <x:c r="P11" s="357"/>
      <x:c r="Q11" s="357" t="s">
        <x:v>204</x:v>
      </x:c>
      <x:c r="R11" s="358">
        <x:f t="shared" si="0"/>
        <x:v>24.300000000000001</x:v>
      </x:c>
      <x:c r="S11" s="359">
        <x:f t="shared" si="1"/>
        <x:v>24.300000000000001</x:v>
      </x:c>
      <x:c r="T11" s="360">
        <x:f t="shared" si="2"/>
        <x:v>24.300000000000001</x:v>
      </x:c>
      <x:c r="U11" s="635"/>
    </x:row>
    <x:row r="12" spans="1:20" ht="12.449999999999999" customHeight="1">
      <x:c r="A12" s="639" t="s">
        <x:v>272</x:v>
      </x:c>
      <x:c r="B12" s="333" t="str">
        <x:f>B5</x:f>
        <x:v>5층 2-11반</x:v>
      </x:c>
      <x:c r="C12" s="333" t="str">
        <x:f>C5</x:f>
        <x:v>14:02 ~ 14:12</x:v>
      </x:c>
      <x:c r="D12" s="92">
        <x:v>3</x:v>
      </x:c>
      <x:c r="E12" s="623">
        <x:v>40.469999999999999</x:v>
      </x:c>
      <x:c r="F12" s="624"/>
      <x:c r="G12" s="623">
        <x:v>41.100000000000001</x:v>
      </x:c>
      <x:c r="H12" s="625"/>
      <x:c r="I12" s="624"/>
      <x:c r="J12" s="623">
        <x:v>42.600000000000001</x:v>
      </x:c>
      <x:c r="K12" s="625"/>
      <x:c r="L12" s="624"/>
      <x:c r="M12" s="640" t="s">
        <x:v>204</x:v>
      </x:c>
      <x:c r="N12" s="641"/>
      <x:c r="O12" s="346" t="str">
        <x:f>O5</x:f>
        <x:v>KEH-KW-01</x:v>
      </x:c>
      <x:c r="P12" s="118"/>
      <x:c r="Q12" s="118"/>
      <x:c r="R12" s="223">
        <x:f t="shared" si="0"/>
        <x:v>40.469999999999999</x:v>
      </x:c>
      <x:c r="S12" s="181">
        <x:f t="shared" si="1"/>
        <x:v>42.600000000000001</x:v>
      </x:c>
      <x:c r="T12" s="171">
        <x:f t="shared" si="2"/>
        <x:v>41.389999999999993</x:v>
      </x:c>
    </x:row>
    <x:row r="13" spans="1:20">
      <x:c r="A13" s="639"/>
      <x:c r="B13" s="333" t="str">
        <x:f t="shared" ref="B13:C13" si="3">B6</x:f>
        <x:v>4층 2-4반</x:v>
      </x:c>
      <x:c r="C13" s="333" t="str">
        <x:f t="shared" si="3"/>
        <x:v>14:13 ~ 14:23</x:v>
      </x:c>
      <x:c r="D13" s="88">
        <x:v>3</x:v>
      </x:c>
      <x:c r="E13" s="626">
        <x:v>46.899999999999999</x:v>
      </x:c>
      <x:c r="F13" s="627"/>
      <x:c r="G13" s="626">
        <x:v>44.799999999999997</x:v>
      </x:c>
      <x:c r="H13" s="628"/>
      <x:c r="I13" s="627"/>
      <x:c r="J13" s="626">
        <x:v>45.299999999999997</x:v>
      </x:c>
      <x:c r="K13" s="628"/>
      <x:c r="L13" s="627"/>
      <x:c r="M13" s="642" t="s">
        <x:v>204</x:v>
      </x:c>
      <x:c r="N13" s="643"/>
      <x:c r="O13" s="347"/>
      <x:c r="P13" s="119"/>
      <x:c r="Q13" s="119"/>
      <x:c r="R13" s="224">
        <x:f t="shared" si="0"/>
        <x:v>44.799999999999997</x:v>
      </x:c>
      <x:c r="S13" s="183">
        <x:f t="shared" si="1"/>
        <x:v>46.899999999999999</x:v>
      </x:c>
      <x:c r="T13" s="173">
        <x:f t="shared" si="2"/>
        <x:v>45.666666666666664</x:v>
      </x:c>
    </x:row>
    <x:row r="14" spans="1:20" ht="26.399999999999999">
      <x:c r="A14" s="639"/>
      <x:c r="B14" s="333" t="str">
        <x:f t="shared" ref="B14:C14" si="4">B7</x:f>
        <x:v>1층 (도제)회계실무실습실</x:v>
      </x:c>
      <x:c r="C14" s="333" t="str">
        <x:f t="shared" si="4"/>
        <x:v>15:00 ~ 15:10</x:v>
      </x:c>
      <x:c r="D14" s="88">
        <x:v>3</x:v>
      </x:c>
      <x:c r="E14" s="626">
        <x:v>50.600000000000001</x:v>
      </x:c>
      <x:c r="F14" s="627"/>
      <x:c r="G14" s="626">
        <x:v>52.799999999999997</x:v>
      </x:c>
      <x:c r="H14" s="628"/>
      <x:c r="I14" s="627"/>
      <x:c r="J14" s="626">
        <x:v>51.700000000000003</x:v>
      </x:c>
      <x:c r="K14" s="628"/>
      <x:c r="L14" s="627"/>
      <x:c r="M14" s="642" t="s">
        <x:v>204</x:v>
      </x:c>
      <x:c r="N14" s="643"/>
      <x:c r="O14" s="347"/>
      <x:c r="P14" s="119"/>
      <x:c r="Q14" s="119"/>
      <x:c r="R14" s="224">
        <x:f t="shared" si="0"/>
        <x:v>50.600000000000001</x:v>
      </x:c>
      <x:c r="S14" s="183">
        <x:f t="shared" si="1"/>
        <x:v>52.799999999999997</x:v>
      </x:c>
      <x:c r="T14" s="173">
        <x:f t="shared" si="2"/>
        <x:v>51.70000000000001</x:v>
      </x:c>
    </x:row>
    <x:row r="15" spans="1:21">
      <x:c r="A15" s="639"/>
      <x:c r="B15" s="376">
        <x:f>B8</x:f>
        <x:v>0</x:v>
      </x:c>
      <x:c r="C15" s="376">
        <x:f>C8</x:f>
        <x:v>0</x:v>
      </x:c>
      <x:c r="D15" s="369">
        <x:v>3</x:v>
      </x:c>
      <x:c r="E15" s="629"/>
      <x:c r="F15" s="630"/>
      <x:c r="G15" s="629"/>
      <x:c r="H15" s="631"/>
      <x:c r="I15" s="630"/>
      <x:c r="J15" s="629"/>
      <x:c r="K15" s="631"/>
      <x:c r="L15" s="630"/>
      <x:c r="M15" s="629" t="s">
        <x:v>204</x:v>
      </x:c>
      <x:c r="N15" s="630"/>
      <x:c r="O15" s="377"/>
      <x:c r="P15" s="378"/>
      <x:c r="Q15" s="378"/>
      <x:c r="R15" s="372">
        <x:f t="shared" si="0"/>
        <x:v>0</x:v>
      </x:c>
      <x:c r="S15" s="373">
        <x:f t="shared" si="1"/>
        <x:v>0</x:v>
      </x:c>
      <x:c r="T15" s="374" t="e">
        <x:f t="shared" si="2"/>
        <x:v>#DIV/0!</x:v>
      </x:c>
      <x:c r="U15" s="375" t="s">
        <x:v>137</x:v>
      </x:c>
    </x:row>
    <x:row r="16" spans="1:21">
      <x:c r="A16" s="639"/>
      <x:c r="B16" s="348" t="str">
        <x:f>B9</x:f>
        <x:v>1층 1-12반</x:v>
      </x:c>
      <x:c r="C16" s="348" t="str">
        <x:f>C9</x:f>
        <x:v>13:12 ~ 14:12</x:v>
      </x:c>
      <x:c r="D16" s="348">
        <x:v>1</x:v>
      </x:c>
      <x:c r="E16" s="632">
        <x:v>45.200000000000003</x:v>
      </x:c>
      <x:c r="F16" s="633"/>
      <x:c r="G16" s="632"/>
      <x:c r="H16" s="634"/>
      <x:c r="I16" s="633"/>
      <x:c r="J16" s="632"/>
      <x:c r="K16" s="634"/>
      <x:c r="L16" s="633"/>
      <x:c r="M16" s="632" t="s">
        <x:v>204</x:v>
      </x:c>
      <x:c r="N16" s="633"/>
      <x:c r="O16" s="362"/>
      <x:c r="P16" s="363"/>
      <x:c r="Q16" s="363"/>
      <x:c r="R16" s="364">
        <x:f t="shared" si="0"/>
        <x:v>45.200000000000003</x:v>
      </x:c>
      <x:c r="S16" s="365">
        <x:f t="shared" si="1"/>
        <x:v>45.200000000000003</x:v>
      </x:c>
      <x:c r="T16" s="366">
        <x:f t="shared" si="2"/>
        <x:v>45.200000000000003</x:v>
      </x:c>
      <x:c r="U16" s="635" t="s">
        <x:v>149</x:v>
      </x:c>
    </x:row>
    <x:row r="17" spans="1:21">
      <x:c r="A17" s="639"/>
      <x:c r="B17" s="361" t="str">
        <x:f t="shared" ref="B17:C17" si="5">B10</x:f>
        <x:v>2층 2-12반</x:v>
      </x:c>
      <x:c r="C17" s="361" t="str">
        <x:f t="shared" si="5"/>
        <x:v>14:05 ~ 15:05</x:v>
      </x:c>
      <x:c r="D17" s="367">
        <x:v>1</x:v>
      </x:c>
      <x:c r="E17" s="632">
        <x:v>48.200000000000003</x:v>
      </x:c>
      <x:c r="F17" s="633"/>
      <x:c r="G17" s="632"/>
      <x:c r="H17" s="634"/>
      <x:c r="I17" s="633"/>
      <x:c r="J17" s="632"/>
      <x:c r="K17" s="634"/>
      <x:c r="L17" s="633"/>
      <x:c r="M17" s="632" t="s">
        <x:v>204</x:v>
      </x:c>
      <x:c r="N17" s="633"/>
      <x:c r="O17" s="362"/>
      <x:c r="P17" s="363"/>
      <x:c r="Q17" s="363"/>
      <x:c r="R17" s="364">
        <x:f t="shared" si="0"/>
        <x:v>48.200000000000003</x:v>
      </x:c>
      <x:c r="S17" s="365">
        <x:f t="shared" si="1"/>
        <x:v>48.200000000000003</x:v>
      </x:c>
      <x:c r="T17" s="366">
        <x:f t="shared" si="2"/>
        <x:v>48.200000000000003</x:v>
      </x:c>
      <x:c r="U17" s="635"/>
    </x:row>
    <x:row r="18" spans="1:21">
      <x:c r="A18" s="342"/>
      <x:c r="B18" s="461" t="str">
        <x:f t="shared" ref="B18:C18" si="6">B11</x:f>
        <x:v>1층 스포티존</x:v>
      </x:c>
      <x:c r="C18" s="461" t="str">
        <x:f t="shared" si="6"/>
        <x:v>13:00 ~ 14:00</x:v>
      </x:c>
      <x:c r="D18" s="367">
        <x:v>1</x:v>
      </x:c>
      <x:c r="E18" s="644">
        <x:v>40</x:v>
      </x:c>
      <x:c r="F18" s="645"/>
      <x:c r="G18" s="644"/>
      <x:c r="H18" s="646"/>
      <x:c r="I18" s="645"/>
      <x:c r="J18" s="644"/>
      <x:c r="K18" s="646"/>
      <x:c r="L18" s="645"/>
      <x:c r="M18" s="644" t="s">
        <x:v>204</x:v>
      </x:c>
      <x:c r="N18" s="645"/>
      <x:c r="O18" s="368"/>
      <x:c r="P18" s="363"/>
      <x:c r="Q18" s="363"/>
      <x:c r="R18" s="364">
        <x:f t="shared" si="0"/>
        <x:v>40</x:v>
      </x:c>
      <x:c r="S18" s="365">
        <x:f t="shared" si="1"/>
        <x:v>40</x:v>
      </x:c>
      <x:c r="T18" s="366">
        <x:f t="shared" si="2"/>
        <x:v>40</x:v>
      </x:c>
      <x:c r="U18" s="635"/>
    </x:row>
    <x:row r="19" spans="1:20">
      <x:c r="A19" s="647" t="s">
        <x:v>37</x:v>
      </x:c>
      <x:c r="B19" s="333" t="str">
        <x:f>B5</x:f>
        <x:v>5층 2-11반</x:v>
      </x:c>
      <x:c r="C19" s="333" t="str">
        <x:f>C5</x:f>
        <x:v>14:02 ~ 14:12</x:v>
      </x:c>
      <x:c r="D19" s="89">
        <x:v>5</x:v>
      </x:c>
      <x:c r="E19" s="650">
        <x:v>11</x:v>
      </x:c>
      <x:c r="F19" s="651"/>
      <x:c r="G19" s="652">
        <x:v>13</x:v>
      </x:c>
      <x:c r="H19" s="652"/>
      <x:c r="I19" s="652">
        <x:v>12</x:v>
      </x:c>
      <x:c r="J19" s="652"/>
      <x:c r="K19" s="650">
        <x:v>11</x:v>
      </x:c>
      <x:c r="L19" s="651"/>
      <x:c r="M19" s="650">
        <x:v>12</x:v>
      </x:c>
      <x:c r="N19" s="651"/>
      <x:c r="O19" s="343" t="str">
        <x:f>O12</x:f>
        <x:v>KEH-KW-01</x:v>
      </x:c>
      <x:c r="P19" s="113"/>
      <x:c r="Q19" s="113">
        <x:v>0</x:v>
      </x:c>
      <x:c r="R19" s="223">
        <x:f>MIN(E19:N19)</x:f>
        <x:v>11</x:v>
      </x:c>
      <x:c r="S19" s="181">
        <x:f>MAX(E19:N19)</x:f>
        <x:v>13</x:v>
      </x:c>
      <x:c r="T19" s="171">
        <x:f>AVERAGE(E19:N19)</x:f>
        <x:v>11.800000000000001</x:v>
      </x:c>
    </x:row>
    <x:row r="20" spans="1:20">
      <x:c r="A20" s="648"/>
      <x:c r="B20" s="333" t="str">
        <x:f t="shared" ref="B20:C20" si="7">B6</x:f>
        <x:v>4층 2-4반</x:v>
      </x:c>
      <x:c r="C20" s="333" t="str">
        <x:f t="shared" si="7"/>
        <x:v>14:13 ~ 14:23</x:v>
      </x:c>
      <x:c r="D20" s="88">
        <x:v>5</x:v>
      </x:c>
      <x:c r="E20" s="653">
        <x:v>18</x:v>
      </x:c>
      <x:c r="F20" s="654"/>
      <x:c r="G20" s="655">
        <x:v>17</x:v>
      </x:c>
      <x:c r="H20" s="655"/>
      <x:c r="I20" s="655">
        <x:v>16</x:v>
      </x:c>
      <x:c r="J20" s="655"/>
      <x:c r="K20" s="653">
        <x:v>16</x:v>
      </x:c>
      <x:c r="L20" s="654"/>
      <x:c r="M20" s="653">
        <x:v>17</x:v>
      </x:c>
      <x:c r="N20" s="654"/>
      <x:c r="O20" s="344"/>
      <x:c r="P20" s="114"/>
      <x:c r="Q20" s="114">
        <x:v>0</x:v>
      </x:c>
      <x:c r="R20" s="224">
        <x:f>MIN(E20:N20)</x:f>
        <x:v>16</x:v>
      </x:c>
      <x:c r="S20" s="183">
        <x:f>MAX(E20:N20)</x:f>
        <x:v>18</x:v>
      </x:c>
      <x:c r="T20" s="173">
        <x:f>AVERAGE(E20:N20)</x:f>
        <x:v>16.800000000000001</x:v>
      </x:c>
    </x:row>
    <x:row r="21" spans="1:20" ht="26.399999999999999">
      <x:c r="A21" s="647"/>
      <x:c r="B21" s="333" t="str">
        <x:f t="shared" ref="B21:C21" si="8">B7</x:f>
        <x:v>1층 (도제)회계실무실습실</x:v>
      </x:c>
      <x:c r="C21" s="333" t="str">
        <x:f t="shared" si="8"/>
        <x:v>15:00 ~ 15:10</x:v>
      </x:c>
      <x:c r="D21" s="93">
        <x:v>5</x:v>
      </x:c>
      <x:c r="E21" s="653">
        <x:v>15</x:v>
      </x:c>
      <x:c r="F21" s="654"/>
      <x:c r="G21" s="655">
        <x:v>14</x:v>
      </x:c>
      <x:c r="H21" s="655"/>
      <x:c r="I21" s="655">
        <x:v>13</x:v>
      </x:c>
      <x:c r="J21" s="655"/>
      <x:c r="K21" s="653">
        <x:v>14</x:v>
      </x:c>
      <x:c r="L21" s="654"/>
      <x:c r="M21" s="653">
        <x:v>15</x:v>
      </x:c>
      <x:c r="N21" s="654"/>
      <x:c r="O21" s="344"/>
      <x:c r="P21" s="114"/>
      <x:c r="Q21" s="114"/>
      <x:c r="R21" s="224">
        <x:f>MIN(E21:N21)</x:f>
        <x:v>13</x:v>
      </x:c>
      <x:c r="S21" s="183">
        <x:f>MAX(E21:N21)</x:f>
        <x:v>15</x:v>
      </x:c>
      <x:c r="T21" s="173">
        <x:f>AVERAGE(E21:N21)</x:f>
        <x:v>14.199999999999999</x:v>
      </x:c>
    </x:row>
    <x:row r="22" spans="1:21" ht="16.5" customHeight="1">
      <x:c r="A22" s="647"/>
      <x:c r="B22" s="369">
        <x:f>B8</x:f>
        <x:v>0</x:v>
      </x:c>
      <x:c r="C22" s="369">
        <x:f>C8</x:f>
        <x:v>0</x:v>
      </x:c>
      <x:c r="D22" s="379">
        <x:v>5</x:v>
      </x:c>
      <x:c r="E22" s="656"/>
      <x:c r="F22" s="657"/>
      <x:c r="G22" s="658"/>
      <x:c r="H22" s="658"/>
      <x:c r="I22" s="658"/>
      <x:c r="J22" s="658"/>
      <x:c r="K22" s="656"/>
      <x:c r="L22" s="657"/>
      <x:c r="M22" s="656"/>
      <x:c r="N22" s="657"/>
      <x:c r="O22" s="370"/>
      <x:c r="P22" s="380"/>
      <x:c r="Q22" s="380"/>
      <x:c r="R22" s="372">
        <x:f>MIN(E22:N22)</x:f>
        <x:v>0</x:v>
      </x:c>
      <x:c r="S22" s="373">
        <x:f>MAX(E22:N22)</x:f>
        <x:v>0</x:v>
      </x:c>
      <x:c r="T22" s="374" t="e">
        <x:f>AVERAGE(E22:N22)</x:f>
        <x:v>#DIV/0!</x:v>
      </x:c>
      <x:c r="U22" s="375" t="s">
        <x:v>137</x:v>
      </x:c>
    </x:row>
    <x:row r="23" spans="1:21">
      <x:c r="A23" s="647"/>
      <x:c r="B23" s="388" t="s">
        <x:v>78</x:v>
      </x:c>
      <x:c r="C23" s="389" t="s">
        <x:v>409</x:v>
      </x:c>
      <x:c r="D23" s="390">
        <x:v>5</x:v>
      </x:c>
      <x:c r="E23" s="659">
        <x:v>18</x:v>
      </x:c>
      <x:c r="F23" s="660"/>
      <x:c r="G23" s="661">
        <x:v>17</x:v>
      </x:c>
      <x:c r="H23" s="661"/>
      <x:c r="I23" s="661">
        <x:v>15</x:v>
      </x:c>
      <x:c r="J23" s="661"/>
      <x:c r="K23" s="659">
        <x:v>14</x:v>
      </x:c>
      <x:c r="L23" s="660"/>
      <x:c r="M23" s="659">
        <x:v>15</x:v>
      </x:c>
      <x:c r="N23" s="660"/>
      <x:c r="O23" s="391"/>
      <x:c r="P23" s="392"/>
      <x:c r="Q23" s="392"/>
      <x:c r="R23" s="393">
        <x:f>MIN(E23:N23)</x:f>
        <x:v>14</x:v>
      </x:c>
      <x:c r="S23" s="394">
        <x:f>MAX(E23:N23)</x:f>
        <x:v>18</x:v>
      </x:c>
      <x:c r="T23" s="395">
        <x:f>AVERAGE(E23:N23)</x:f>
        <x:v>15.800000000000001</x:v>
      </x:c>
      <x:c r="U23" s="396" t="s">
        <x:v>78</x:v>
      </x:c>
    </x:row>
    <x:row r="24" spans="1:20">
      <x:c r="A24" s="647"/>
      <x:c r="B24" s="662" t="s">
        <x:v>222</x:v>
      </x:c>
      <x:c r="C24" s="600" t="s">
        <x:v>396</x:v>
      </x:c>
      <x:c r="D24" s="615">
        <x:v>10</x:v>
      </x:c>
      <x:c r="E24" s="618">
        <x:v>26</x:v>
      </x:c>
      <x:c r="F24" s="665"/>
      <x:c r="G24" s="616">
        <x:v>24</x:v>
      </x:c>
      <x:c r="H24" s="616"/>
      <x:c r="I24" s="616">
        <x:v>25</x:v>
      </x:c>
      <x:c r="J24" s="616"/>
      <x:c r="K24" s="618">
        <x:v>24</x:v>
      </x:c>
      <x:c r="L24" s="665"/>
      <x:c r="M24" s="618">
        <x:v>23</x:v>
      </x:c>
      <x:c r="N24" s="665"/>
      <x:c r="O24" s="344"/>
      <x:c r="P24" s="114"/>
      <x:c r="Q24" s="114"/>
      <x:c r="R24" s="666">
        <x:f>MIN(E24:N25)</x:f>
        <x:v>23</x:v>
      </x:c>
      <x:c r="S24" s="671">
        <x:f>MAX(E24:N25)</x:f>
        <x:v>27</x:v>
      </x:c>
      <x:c r="T24" s="673">
        <x:f>AVERAGE(E24:N25)</x:f>
        <x:v>24.899999999999999</x:v>
      </x:c>
    </x:row>
    <x:row r="25" spans="1:20">
      <x:c r="A25" s="647"/>
      <x:c r="B25" s="663"/>
      <x:c r="C25" s="664"/>
      <x:c r="D25" s="664"/>
      <x:c r="E25" s="618">
        <x:v>25</x:v>
      </x:c>
      <x:c r="F25" s="665"/>
      <x:c r="G25" s="616">
        <x:v>26</x:v>
      </x:c>
      <x:c r="H25" s="616"/>
      <x:c r="I25" s="616">
        <x:v>24</x:v>
      </x:c>
      <x:c r="J25" s="616"/>
      <x:c r="K25" s="618">
        <x:v>25</x:v>
      </x:c>
      <x:c r="L25" s="665"/>
      <x:c r="M25" s="618">
        <x:v>27</x:v>
      </x:c>
      <x:c r="N25" s="665"/>
      <x:c r="O25" s="344"/>
      <x:c r="P25" s="114"/>
      <x:c r="Q25" s="114"/>
      <x:c r="R25" s="677"/>
      <x:c r="S25" s="672"/>
      <x:c r="T25" s="674"/>
    </x:row>
    <x:row r="26" spans="1:20">
      <x:c r="A26" s="647"/>
      <x:c r="B26" s="615"/>
      <x:c r="C26" s="615"/>
      <x:c r="D26" s="615">
        <x:v>10</x:v>
      </x:c>
      <x:c r="E26" s="618"/>
      <x:c r="F26" s="665"/>
      <x:c r="G26" s="616"/>
      <x:c r="H26" s="616"/>
      <x:c r="I26" s="616"/>
      <x:c r="J26" s="616"/>
      <x:c r="K26" s="618"/>
      <x:c r="L26" s="665"/>
      <x:c r="M26" s="618"/>
      <x:c r="N26" s="665"/>
      <x:c r="O26" s="344"/>
      <x:c r="P26" s="114"/>
      <x:c r="Q26" s="114">
        <x:v>0</x:v>
      </x:c>
      <x:c r="R26" s="666">
        <x:f>MIN(E26:N27)</x:f>
        <x:v>0</x:v>
      </x:c>
      <x:c r="S26" s="671">
        <x:f>MAX(E26:N27)</x:f>
        <x:v>0</x:v>
      </x:c>
      <x:c r="T26" s="673" t="e">
        <x:f>AVERAGE(E26:N27)</x:f>
        <x:v>#DIV/0!</x:v>
      </x:c>
    </x:row>
    <x:row r="27" spans="1:20">
      <x:c r="A27" s="649"/>
      <x:c r="B27" s="601"/>
      <x:c r="C27" s="601"/>
      <x:c r="D27" s="601"/>
      <x:c r="E27" s="619"/>
      <x:c r="F27" s="668"/>
      <x:c r="G27" s="617"/>
      <x:c r="H27" s="617"/>
      <x:c r="I27" s="617"/>
      <x:c r="J27" s="617"/>
      <x:c r="K27" s="619"/>
      <x:c r="L27" s="668"/>
      <x:c r="M27" s="619"/>
      <x:c r="N27" s="668"/>
      <x:c r="O27" s="345"/>
      <x:c r="P27" s="115"/>
      <x:c r="Q27" s="115"/>
      <x:c r="R27" s="667"/>
      <x:c r="S27" s="675"/>
      <x:c r="T27" s="676"/>
    </x:row>
    <x:row r="28" spans="1:20">
      <x:c r="A28" s="620" t="s">
        <x:v>11</x:v>
      </x:c>
      <x:c r="B28" s="333" t="str">
        <x:f>B5</x:f>
        <x:v>5층 2-11반</x:v>
      </x:c>
      <x:c r="C28" s="333" t="str">
        <x:f>C5</x:f>
        <x:v>14:02 ~ 14:12</x:v>
      </x:c>
      <x:c r="D28" s="92">
        <x:v>5</x:v>
      </x:c>
      <x:c r="E28" s="679">
        <x:v>10</x:v>
      </x:c>
      <x:c r="F28" s="680"/>
      <x:c r="G28" s="678">
        <x:v>12</x:v>
      </x:c>
      <x:c r="H28" s="678"/>
      <x:c r="I28" s="678">
        <x:v>11</x:v>
      </x:c>
      <x:c r="J28" s="678"/>
      <x:c r="K28" s="650">
        <x:v>10</x:v>
      </x:c>
      <x:c r="L28" s="651"/>
      <x:c r="M28" s="679">
        <x:v>11</x:v>
      </x:c>
      <x:c r="N28" s="680"/>
      <x:c r="O28" s="343" t="str">
        <x:f>O19</x:f>
        <x:v>KEH-KW-01</x:v>
      </x:c>
      <x:c r="P28" s="114"/>
      <x:c r="Q28" s="114">
        <x:v>0</x:v>
      </x:c>
      <x:c r="R28" s="215">
        <x:f t="shared" ref="R28:R32" si="9">MIN(E28:N28)</x:f>
        <x:v>10</x:v>
      </x:c>
      <x:c r="S28" s="216">
        <x:f t="shared" ref="S28:S32" si="10">MAX(E28:N28)</x:f>
        <x:v>12</x:v>
      </x:c>
      <x:c r="T28" s="217">
        <x:f t="shared" ref="T28:T32" si="11">AVERAGE(E28:N28)</x:f>
        <x:v>10.800000000000001</x:v>
      </x:c>
    </x:row>
    <x:row r="29" spans="1:20">
      <x:c r="A29" s="621"/>
      <x:c r="B29" s="333" t="str">
        <x:f t="shared" ref="B29:C29" si="12">B6</x:f>
        <x:v>4층 2-4반</x:v>
      </x:c>
      <x:c r="C29" s="333" t="str">
        <x:f t="shared" si="12"/>
        <x:v>14:13 ~ 14:23</x:v>
      </x:c>
      <x:c r="D29" s="88">
        <x:v>5</x:v>
      </x:c>
      <x:c r="E29" s="653">
        <x:v>17</x:v>
      </x:c>
      <x:c r="F29" s="654"/>
      <x:c r="G29" s="655">
        <x:v>16</x:v>
      </x:c>
      <x:c r="H29" s="655"/>
      <x:c r="I29" s="655">
        <x:v>15</x:v>
      </x:c>
      <x:c r="J29" s="655"/>
      <x:c r="K29" s="653">
        <x:v>15</x:v>
      </x:c>
      <x:c r="L29" s="654"/>
      <x:c r="M29" s="653">
        <x:v>16</x:v>
      </x:c>
      <x:c r="N29" s="654"/>
      <x:c r="O29" s="344"/>
      <x:c r="P29" s="114"/>
      <x:c r="Q29" s="114">
        <x:v>0</x:v>
      </x:c>
      <x:c r="R29" s="224">
        <x:f t="shared" si="9"/>
        <x:v>15</x:v>
      </x:c>
      <x:c r="S29" s="183">
        <x:f t="shared" si="10"/>
        <x:v>17</x:v>
      </x:c>
      <x:c r="T29" s="173">
        <x:f t="shared" si="11"/>
        <x:v>15.800000000000001</x:v>
      </x:c>
    </x:row>
    <x:row r="30" spans="1:20" ht="26.399999999999999">
      <x:c r="A30" s="621"/>
      <x:c r="B30" s="333" t="str">
        <x:f t="shared" ref="B30:C30" si="13">B7</x:f>
        <x:v>1층 (도제)회계실무실습실</x:v>
      </x:c>
      <x:c r="C30" s="333" t="str">
        <x:f t="shared" si="13"/>
        <x:v>15:00 ~ 15:10</x:v>
      </x:c>
      <x:c r="D30" s="93">
        <x:f>D21</x:f>
        <x:v>5</x:v>
      </x:c>
      <x:c r="E30" s="653">
        <x:v>14</x:v>
      </x:c>
      <x:c r="F30" s="654"/>
      <x:c r="G30" s="653">
        <x:v>13</x:v>
      </x:c>
      <x:c r="H30" s="654"/>
      <x:c r="I30" s="653">
        <x:v>12</x:v>
      </x:c>
      <x:c r="J30" s="654"/>
      <x:c r="K30" s="653">
        <x:v>13</x:v>
      </x:c>
      <x:c r="L30" s="654"/>
      <x:c r="M30" s="653">
        <x:v>14</x:v>
      </x:c>
      <x:c r="N30" s="654"/>
      <x:c r="O30" s="344"/>
      <x:c r="P30" s="114"/>
      <x:c r="Q30" s="114"/>
      <x:c r="R30" s="224">
        <x:f t="shared" si="9"/>
        <x:v>12</x:v>
      </x:c>
      <x:c r="S30" s="183">
        <x:f t="shared" si="10"/>
        <x:v>14</x:v>
      </x:c>
      <x:c r="T30" s="173">
        <x:f t="shared" si="11"/>
        <x:v>13.199999999999999</x:v>
      </x:c>
    </x:row>
    <x:row r="31" spans="1:21">
      <x:c r="A31" s="621"/>
      <x:c r="B31" s="376">
        <x:f>B8</x:f>
        <x:v>0</x:v>
      </x:c>
      <x:c r="C31" s="376">
        <x:f>C8</x:f>
        <x:v>0</x:v>
      </x:c>
      <x:c r="D31" s="369">
        <x:v>5</x:v>
      </x:c>
      <x:c r="E31" s="656"/>
      <x:c r="F31" s="657"/>
      <x:c r="G31" s="658"/>
      <x:c r="H31" s="658"/>
      <x:c r="I31" s="658"/>
      <x:c r="J31" s="658"/>
      <x:c r="K31" s="656"/>
      <x:c r="L31" s="657"/>
      <x:c r="M31" s="656"/>
      <x:c r="N31" s="657"/>
      <x:c r="O31" s="370"/>
      <x:c r="P31" s="380"/>
      <x:c r="Q31" s="380">
        <x:v>0</x:v>
      </x:c>
      <x:c r="R31" s="381">
        <x:f t="shared" si="9"/>
        <x:v>0</x:v>
      </x:c>
      <x:c r="S31" s="382">
        <x:f t="shared" si="10"/>
        <x:v>0</x:v>
      </x:c>
      <x:c r="T31" s="383" t="e">
        <x:f t="shared" si="11"/>
        <x:v>#DIV/0!</x:v>
      </x:c>
      <x:c r="U31" s="375" t="s">
        <x:v>137</x:v>
      </x:c>
    </x:row>
    <x:row r="32" spans="1:21">
      <x:c r="A32" s="622"/>
      <x:c r="B32" s="397" t="str">
        <x:f>B23</x:f>
        <x:v>급식시설</x:v>
      </x:c>
      <x:c r="C32" s="397" t="str">
        <x:f>C23</x:f>
        <x:v>14:46 ~ 14:56</x:v>
      </x:c>
      <x:c r="D32" s="398">
        <x:v>5</x:v>
      </x:c>
      <x:c r="E32" s="669">
        <x:v>17</x:v>
      </x:c>
      <x:c r="F32" s="670"/>
      <x:c r="G32" s="681">
        <x:v>16</x:v>
      </x:c>
      <x:c r="H32" s="681"/>
      <x:c r="I32" s="681">
        <x:v>14</x:v>
      </x:c>
      <x:c r="J32" s="681"/>
      <x:c r="K32" s="669">
        <x:v>13</x:v>
      </x:c>
      <x:c r="L32" s="670"/>
      <x:c r="M32" s="669">
        <x:v>14</x:v>
      </x:c>
      <x:c r="N32" s="670"/>
      <x:c r="O32" s="399"/>
      <x:c r="P32" s="392"/>
      <x:c r="Q32" s="392"/>
      <x:c r="R32" s="400">
        <x:f t="shared" si="9"/>
        <x:v>13</x:v>
      </x:c>
      <x:c r="S32" s="401">
        <x:f t="shared" si="10"/>
        <x:v>17</x:v>
      </x:c>
      <x:c r="T32" s="402">
        <x:f t="shared" si="11"/>
        <x:v>14.800000000000001</x:v>
      </x:c>
      <x:c r="U32" s="396" t="s">
        <x:v>78</x:v>
      </x:c>
    </x:row>
    <x:row r="33" spans="1:20">
      <x:c r="A33" s="647" t="s">
        <x:v>19</x:v>
      </x:c>
      <x:c r="B33" s="333" t="str">
        <x:f>B5</x:f>
        <x:v>5층 2-11반</x:v>
      </x:c>
      <x:c r="C33" s="333" t="str">
        <x:f>C5</x:f>
        <x:v>14:02 ~ 14:12</x:v>
      </x:c>
      <x:c r="D33" s="89">
        <x:v>3</x:v>
      </x:c>
      <x:c r="E33" s="650">
        <x:v>816</x:v>
      </x:c>
      <x:c r="F33" s="651"/>
      <x:c r="G33" s="650">
        <x:v>842</x:v>
      </x:c>
      <x:c r="H33" s="689"/>
      <x:c r="I33" s="651"/>
      <x:c r="J33" s="650">
        <x:v>786</x:v>
      </x:c>
      <x:c r="K33" s="689"/>
      <x:c r="L33" s="651"/>
      <x:c r="M33" s="602"/>
      <x:c r="N33" s="690"/>
      <x:c r="O33" s="384" t="str">
        <x:f>O28</x:f>
        <x:v>KEH-KW-01</x:v>
      </x:c>
      <x:c r="P33" s="300"/>
      <x:c r="Q33" s="219">
        <x:v>0</x:v>
      </x:c>
      <x:c r="R33" s="223">
        <x:f t="shared" ref="R33:R43" si="14">MIN(E33:L33)</x:f>
        <x:v>786</x:v>
      </x:c>
      <x:c r="S33" s="181">
        <x:f t="shared" ref="S33:S43" si="15">MAX(E33:L33)</x:f>
        <x:v>842</x:v>
      </x:c>
      <x:c r="T33" s="171">
        <x:f t="shared" ref="T33:T43" si="16">AVERAGE(E33:L33)</x:f>
        <x:v>814.66666666666663</x:v>
      </x:c>
    </x:row>
    <x:row r="34" spans="1:20">
      <x:c r="A34" s="648"/>
      <x:c r="B34" s="333" t="str">
        <x:f t="shared" ref="B34:C34" si="17">B6</x:f>
        <x:v>4층 2-4반</x:v>
      </x:c>
      <x:c r="C34" s="333" t="str">
        <x:f t="shared" si="17"/>
        <x:v>14:13 ~ 14:23</x:v>
      </x:c>
      <x:c r="D34" s="88">
        <x:v>3</x:v>
      </x:c>
      <x:c r="E34" s="653">
        <x:v>763</x:v>
      </x:c>
      <x:c r="F34" s="654"/>
      <x:c r="G34" s="653">
        <x:v>819</x:v>
      </x:c>
      <x:c r="H34" s="682"/>
      <x:c r="I34" s="654"/>
      <x:c r="J34" s="653">
        <x:v>843</x:v>
      </x:c>
      <x:c r="K34" s="682"/>
      <x:c r="L34" s="654"/>
      <x:c r="M34" s="618"/>
      <x:c r="N34" s="665"/>
      <x:c r="O34" s="385"/>
      <x:c r="P34" s="295"/>
      <x:c r="Q34" s="213">
        <x:v>0</x:v>
      </x:c>
      <x:c r="R34" s="224">
        <x:f t="shared" si="14"/>
        <x:v>763</x:v>
      </x:c>
      <x:c r="S34" s="183">
        <x:f t="shared" si="15"/>
        <x:v>843</x:v>
      </x:c>
      <x:c r="T34" s="173">
        <x:f t="shared" si="16"/>
        <x:v>808.33333333333337</x:v>
      </x:c>
    </x:row>
    <x:row r="35" spans="1:20" ht="26.399999999999999">
      <x:c r="A35" s="648"/>
      <x:c r="B35" s="333" t="str">
        <x:f t="shared" ref="B35:C35" si="18">B7</x:f>
        <x:v>1층 (도제)회계실무실습실</x:v>
      </x:c>
      <x:c r="C35" s="333" t="str">
        <x:f t="shared" si="18"/>
        <x:v>15:00 ~ 15:10</x:v>
      </x:c>
      <x:c r="D35" s="93">
        <x:v>3</x:v>
      </x:c>
      <x:c r="E35" s="653">
        <x:v>712</x:v>
      </x:c>
      <x:c r="F35" s="654"/>
      <x:c r="G35" s="653">
        <x:v>736</x:v>
      </x:c>
      <x:c r="H35" s="682"/>
      <x:c r="I35" s="654"/>
      <x:c r="J35" s="653">
        <x:v>772</x:v>
      </x:c>
      <x:c r="K35" s="682"/>
      <x:c r="L35" s="654"/>
      <x:c r="M35" s="129"/>
      <x:c r="N35" s="130"/>
      <x:c r="O35" s="385"/>
      <x:c r="P35" s="295"/>
      <x:c r="Q35" s="213"/>
      <x:c r="R35" s="224">
        <x:f t="shared" si="14"/>
        <x:v>712</x:v>
      </x:c>
      <x:c r="S35" s="183">
        <x:f t="shared" si="15"/>
        <x:v>772</x:v>
      </x:c>
      <x:c r="T35" s="173">
        <x:f t="shared" si="16"/>
        <x:v>740</x:v>
      </x:c>
    </x:row>
    <x:row r="36" spans="1:21">
      <x:c r="A36" s="648"/>
      <x:c r="B36" s="376">
        <x:f>B8</x:f>
        <x:v>0</x:v>
      </x:c>
      <x:c r="C36" s="376">
        <x:f>C8</x:f>
        <x:v>0</x:v>
      </x:c>
      <x:c r="D36" s="369">
        <x:v>3</x:v>
      </x:c>
      <x:c r="E36" s="656"/>
      <x:c r="F36" s="657"/>
      <x:c r="G36" s="656"/>
      <x:c r="H36" s="683"/>
      <x:c r="I36" s="657"/>
      <x:c r="J36" s="656"/>
      <x:c r="K36" s="683"/>
      <x:c r="L36" s="657"/>
      <x:c r="M36" s="656"/>
      <x:c r="N36" s="657"/>
      <x:c r="O36" s="386"/>
      <x:c r="P36" s="387"/>
      <x:c r="Q36" s="371">
        <x:v>0</x:v>
      </x:c>
      <x:c r="R36" s="372">
        <x:f t="shared" si="14"/>
        <x:v>0</x:v>
      </x:c>
      <x:c r="S36" s="373">
        <x:f t="shared" si="15"/>
        <x:v>0</x:v>
      </x:c>
      <x:c r="T36" s="374" t="e">
        <x:f t="shared" si="16"/>
        <x:v>#DIV/0!</x:v>
      </x:c>
      <x:c r="U36" s="375" t="s">
        <x:v>137</x:v>
      </x:c>
    </x:row>
    <x:row r="37" spans="1:21">
      <x:c r="A37" s="649"/>
      <x:c r="B37" s="397" t="str">
        <x:f>B23</x:f>
        <x:v>급식시설</x:v>
      </x:c>
      <x:c r="C37" s="397" t="str">
        <x:f>C23</x:f>
        <x:v>14:46 ~ 14:56</x:v>
      </x:c>
      <x:c r="D37" s="403">
        <x:v>3</x:v>
      </x:c>
      <x:c r="E37" s="659">
        <x:v>512</x:v>
      </x:c>
      <x:c r="F37" s="660"/>
      <x:c r="G37" s="659">
        <x:v>603</x:v>
      </x:c>
      <x:c r="H37" s="691"/>
      <x:c r="I37" s="660"/>
      <x:c r="J37" s="659">
        <x:v>582</x:v>
      </x:c>
      <x:c r="K37" s="691"/>
      <x:c r="L37" s="660"/>
      <x:c r="M37" s="404"/>
      <x:c r="N37" s="405"/>
      <x:c r="O37" s="406"/>
      <x:c r="P37" s="407"/>
      <x:c r="Q37" s="408"/>
      <x:c r="R37" s="409">
        <x:f t="shared" si="14"/>
        <x:v>512</x:v>
      </x:c>
      <x:c r="S37" s="410">
        <x:f t="shared" si="15"/>
        <x:v>603</x:v>
      </x:c>
      <x:c r="T37" s="411">
        <x:f t="shared" si="16"/>
        <x:v>565.66666666666663</x:v>
      </x:c>
      <x:c r="U37" s="396" t="s">
        <x:v>78</x:v>
      </x:c>
    </x:row>
    <x:row r="38" spans="1:20" s="152" customFormat="1">
      <x:c r="A38" s="684" t="s">
        <x:v>31</x:v>
      </x:c>
      <x:c r="B38" s="92" t="str">
        <x:f>B5</x:f>
        <x:v>5층 2-11반</x:v>
      </x:c>
      <x:c r="C38" s="92" t="str">
        <x:f>C5</x:f>
        <x:v>14:02 ~ 14:12</x:v>
      </x:c>
      <x:c r="D38" s="89">
        <x:v>3</x:v>
      </x:c>
      <x:c r="E38" s="685">
        <x:v>1.8999999999999999</x:v>
      </x:c>
      <x:c r="F38" s="686"/>
      <x:c r="G38" s="685">
        <x:v>1.9199999999999999</x:v>
      </x:c>
      <x:c r="H38" s="687"/>
      <x:c r="I38" s="686"/>
      <x:c r="J38" s="685">
        <x:v>1.9299999999999999</x:v>
      </x:c>
      <x:c r="K38" s="687"/>
      <x:c r="L38" s="686"/>
      <x:c r="M38" s="663"/>
      <x:c r="N38" s="688"/>
      <x:c r="O38" s="692" t="str">
        <x:f>O33</x:f>
        <x:v>KEH-KW-01</x:v>
      </x:c>
      <x:c r="P38" s="114"/>
      <x:c r="Q38" s="114">
        <x:v>0</x:v>
      </x:c>
      <x:c r="R38" s="225">
        <x:f t="shared" si="14"/>
        <x:v>1.8999999999999999</x:v>
      </x:c>
      <x:c r="S38" s="226">
        <x:f t="shared" si="15"/>
        <x:v>1.9299999999999999</x:v>
      </x:c>
      <x:c r="T38" s="227">
        <x:f t="shared" si="16"/>
        <x:v>1.9166666666666667</x:v>
      </x:c>
    </x:row>
    <x:row r="39" spans="1:20" s="152" customFormat="1">
      <x:c r="A39" s="684"/>
      <x:c r="B39" s="88"/>
      <x:c r="C39" s="88"/>
      <x:c r="D39" s="89">
        <x:v>3</x:v>
      </x:c>
      <x:c r="E39" s="695"/>
      <x:c r="F39" s="696"/>
      <x:c r="G39" s="695"/>
      <x:c r="H39" s="697"/>
      <x:c r="I39" s="696"/>
      <x:c r="J39" s="695"/>
      <x:c r="K39" s="697"/>
      <x:c r="L39" s="696"/>
      <x:c r="M39" s="618"/>
      <x:c r="N39" s="665"/>
      <x:c r="O39" s="693"/>
      <x:c r="P39" s="114"/>
      <x:c r="Q39" s="114">
        <x:v>0</x:v>
      </x:c>
      <x:c r="R39" s="228">
        <x:f t="shared" si="14"/>
        <x:v>0</x:v>
      </x:c>
      <x:c r="S39" s="229">
        <x:f t="shared" si="15"/>
        <x:v>0</x:v>
      </x:c>
      <x:c r="T39" s="230" t="e">
        <x:f t="shared" si="16"/>
        <x:v>#DIV/0!</x:v>
      </x:c>
    </x:row>
    <x:row r="40" spans="1:20" s="152" customFormat="1">
      <x:c r="A40" s="684"/>
      <x:c r="B40" s="93"/>
      <x:c r="C40" s="90"/>
      <x:c r="D40" s="90">
        <x:v>3</x:v>
      </x:c>
      <x:c r="E40" s="698"/>
      <x:c r="F40" s="699"/>
      <x:c r="G40" s="698"/>
      <x:c r="H40" s="700"/>
      <x:c r="I40" s="699"/>
      <x:c r="J40" s="698"/>
      <x:c r="K40" s="700"/>
      <x:c r="L40" s="699"/>
      <x:c r="M40" s="701"/>
      <x:c r="N40" s="702"/>
      <x:c r="O40" s="694"/>
      <x:c r="P40" s="114"/>
      <x:c r="Q40" s="114">
        <x:v>0</x:v>
      </x:c>
      <x:c r="R40" s="231">
        <x:f t="shared" si="14"/>
        <x:v>0</x:v>
      </x:c>
      <x:c r="S40" s="232">
        <x:f t="shared" si="15"/>
        <x:v>0</x:v>
      </x:c>
      <x:c r="T40" s="233" t="e">
        <x:f t="shared" si="16"/>
        <x:v>#DIV/0!</x:v>
      </x:c>
    </x:row>
    <x:row r="41" spans="1:39">
      <x:c r="A41" s="647" t="s">
        <x:v>261</x:v>
      </x:c>
      <x:c r="B41" s="89" t="str">
        <x:f>B5</x:f>
        <x:v>5층 2-11반</x:v>
      </x:c>
      <x:c r="C41" s="89" t="str">
        <x:f>C5</x:f>
        <x:v>14:02 ~ 14:12</x:v>
      </x:c>
      <x:c r="D41" s="89">
        <x:v>3</x:v>
      </x:c>
      <x:c r="E41" s="703">
        <x:v>0.019</x:v>
      </x:c>
      <x:c r="F41" s="704"/>
      <x:c r="G41" s="703">
        <x:v>0.020000000000000001</x:v>
      </x:c>
      <x:c r="H41" s="705"/>
      <x:c r="I41" s="704"/>
      <x:c r="J41" s="703">
        <x:v>0.021000000000000002</x:v>
      </x:c>
      <x:c r="K41" s="705"/>
      <x:c r="L41" s="704"/>
      <x:c r="M41" s="602"/>
      <x:c r="N41" s="690"/>
      <x:c r="O41" s="692" t="str">
        <x:f>O38</x:f>
        <x:v>KEH-KW-01</x:v>
      </x:c>
      <x:c r="P41" s="113"/>
      <x:c r="Q41" s="113">
        <x:v>0</x:v>
      </x:c>
      <x:c r="R41" s="234">
        <x:f t="shared" si="14"/>
        <x:v>0.019</x:v>
      </x:c>
      <x:c r="S41" s="235">
        <x:f t="shared" si="15"/>
        <x:v>0.021000000000000002</x:v>
      </x:c>
      <x:c r="T41" s="236">
        <x:f t="shared" si="16"/>
        <x:v>0.020000000000000001</x:v>
      </x:c>
      <x:c r="U41" s="153"/>
      <x:c r="V41" s="153"/>
      <x:c r="W41" s="153"/>
      <x:c r="X41" s="153"/>
      <x:c r="Y41" s="153"/>
      <x:c r="Z41" s="153"/>
      <x:c r="AA41" s="153"/>
      <x:c r="AB41" s="153"/>
      <x:c r="AC41" s="153"/>
      <x:c r="AD41" s="153"/>
      <x:c r="AE41" s="153"/>
      <x:c r="AF41" s="153"/>
      <x:c r="AG41" s="153"/>
      <x:c r="AH41" s="153"/>
      <x:c r="AI41" s="153"/>
      <x:c r="AJ41" s="153"/>
      <x:c r="AK41" s="153"/>
      <x:c r="AL41" s="153"/>
      <x:c r="AM41" s="153"/>
    </x:row>
    <x:row r="42" spans="1:39">
      <x:c r="A42" s="648"/>
      <x:c r="B42" s="88"/>
      <x:c r="C42" s="88"/>
      <x:c r="D42" s="88">
        <x:v>3</x:v>
      </x:c>
      <x:c r="E42" s="706"/>
      <x:c r="F42" s="707"/>
      <x:c r="G42" s="706"/>
      <x:c r="H42" s="708"/>
      <x:c r="I42" s="707"/>
      <x:c r="J42" s="706"/>
      <x:c r="K42" s="708"/>
      <x:c r="L42" s="707"/>
      <x:c r="M42" s="618"/>
      <x:c r="N42" s="665"/>
      <x:c r="O42" s="693"/>
      <x:c r="P42" s="114"/>
      <x:c r="Q42" s="114">
        <x:v>0</x:v>
      </x:c>
      <x:c r="R42" s="237">
        <x:f t="shared" si="14"/>
        <x:v>0</x:v>
      </x:c>
      <x:c r="S42" s="238">
        <x:f t="shared" si="15"/>
        <x:v>0</x:v>
      </x:c>
      <x:c r="T42" s="211" t="e">
        <x:f t="shared" si="16"/>
        <x:v>#DIV/0!</x:v>
      </x:c>
      <x:c r="U42" s="709" t="s">
        <x:v>461</x:v>
      </x:c>
      <x:c r="V42" s="710"/>
      <x:c r="W42" s="710"/>
      <x:c r="X42" s="710"/>
      <x:c r="Y42" s="710"/>
      <x:c r="Z42" s="710"/>
      <x:c r="AA42" s="710"/>
      <x:c r="AB42" s="710"/>
      <x:c r="AC42" s="710"/>
      <x:c r="AD42" s="710"/>
      <x:c r="AE42" s="710"/>
      <x:c r="AF42" s="710"/>
      <x:c r="AG42" s="710"/>
      <x:c r="AH42" s="710"/>
      <x:c r="AI42" s="710"/>
      <x:c r="AJ42" s="710"/>
      <x:c r="AK42" s="710"/>
      <x:c r="AL42" s="709"/>
      <x:c r="AM42" s="711"/>
    </x:row>
    <x:row r="43" spans="1:39">
      <x:c r="A43" s="649"/>
      <x:c r="B43" s="90"/>
      <x:c r="C43" s="90"/>
      <x:c r="D43" s="90">
        <x:v>3</x:v>
      </x:c>
      <x:c r="E43" s="712"/>
      <x:c r="F43" s="713"/>
      <x:c r="G43" s="712"/>
      <x:c r="H43" s="714"/>
      <x:c r="I43" s="713"/>
      <x:c r="J43" s="712"/>
      <x:c r="K43" s="714"/>
      <x:c r="L43" s="713"/>
      <x:c r="M43" s="701"/>
      <x:c r="N43" s="702"/>
      <x:c r="O43" s="693"/>
      <x:c r="P43" s="114"/>
      <x:c r="Q43" s="114">
        <x:v>0</x:v>
      </x:c>
      <x:c r="R43" s="239">
        <x:f t="shared" si="14"/>
        <x:v>0</x:v>
      </x:c>
      <x:c r="S43" s="240">
        <x:f t="shared" si="15"/>
        <x:v>0</x:v>
      </x:c>
      <x:c r="T43" s="241" t="e">
        <x:f t="shared" si="16"/>
        <x:v>#DIV/0!</x:v>
      </x:c>
      <x:c r="U43" s="709" t="s">
        <x:v>361</x:v>
      </x:c>
      <x:c r="V43" s="710"/>
      <x:c r="W43" s="710"/>
      <x:c r="X43" s="710"/>
      <x:c r="Y43" s="710"/>
      <x:c r="Z43" s="710"/>
      <x:c r="AA43" s="710"/>
      <x:c r="AB43" s="710"/>
      <x:c r="AC43" s="710"/>
      <x:c r="AD43" s="710"/>
      <x:c r="AE43" s="710"/>
      <x:c r="AF43" s="710"/>
      <x:c r="AG43" s="710"/>
      <x:c r="AH43" s="710"/>
      <x:c r="AI43" s="710"/>
      <x:c r="AJ43" s="710"/>
      <x:c r="AK43" s="710"/>
      <x:c r="AL43" s="711"/>
      <x:c r="AM43" s="154" t="s">
        <x:v>289</x:v>
      </x:c>
    </x:row>
    <x:row r="44" spans="1:39" ht="16.649999999999999" customHeight="1">
      <x:c r="A44" s="715" t="s">
        <x:v>35</x:v>
      </x:c>
      <x:c r="B44" s="599" t="s">
        <x:v>239</x:v>
      </x:c>
      <x:c r="C44" s="599" t="s">
        <x:v>104</x:v>
      </x:c>
      <x:c r="D44" s="599" t="s">
        <x:v>256</x:v>
      </x:c>
      <x:c r="E44" s="717" t="s">
        <x:v>305</x:v>
      </x:c>
      <x:c r="F44" s="717"/>
      <x:c r="G44" s="717"/>
      <x:c r="H44" s="717"/>
      <x:c r="I44" s="718"/>
      <x:c r="J44" s="719"/>
      <x:c r="K44" s="719"/>
      <x:c r="L44" s="720"/>
      <x:c r="M44" s="717"/>
      <x:c r="N44" s="717"/>
      <x:c r="O44" s="721"/>
      <x:c r="P44" s="307"/>
      <x:c r="Q44" s="722" t="s">
        <x:v>48</x:v>
      </x:c>
      <x:c r="R44" s="724" t="s">
        <x:v>235</x:v>
      </x:c>
      <x:c r="S44" s="726" t="s">
        <x:v>202</x:v>
      </x:c>
      <x:c r="T44" s="728" t="s">
        <x:v>200</x:v>
      </x:c>
      <x:c r="U44" s="730" t="s">
        <x:v>305</x:v>
      </x:c>
      <x:c r="V44" s="730"/>
      <x:c r="W44" s="730"/>
      <x:c r="X44" s="730"/>
      <x:c r="Y44" s="730"/>
      <x:c r="Z44" s="731"/>
      <x:c r="AA44" s="732" t="s">
        <x:v>265</x:v>
      </x:c>
      <x:c r="AB44" s="730"/>
      <x:c r="AC44" s="730"/>
      <x:c r="AD44" s="730"/>
      <x:c r="AE44" s="730"/>
      <x:c r="AF44" s="731"/>
      <x:c r="AG44" s="733" t="s">
        <x:v>240</x:v>
      </x:c>
      <x:c r="AH44" s="734"/>
      <x:c r="AI44" s="734"/>
      <x:c r="AJ44" s="734"/>
      <x:c r="AK44" s="734"/>
      <x:c r="AL44" s="735"/>
      <x:c r="AM44" s="736" t="s">
        <x:v>496</x:v>
      </x:c>
    </x:row>
    <x:row r="45" spans="1:40" ht="32.25" customHeight="1">
      <x:c r="A45" s="716"/>
      <x:c r="B45" s="664"/>
      <x:c r="C45" s="664"/>
      <x:c r="D45" s="664"/>
      <x:c r="E45" s="737" t="s">
        <x:v>49</x:v>
      </x:c>
      <x:c r="F45" s="737"/>
      <x:c r="G45" s="737" t="s">
        <x:v>146</x:v>
      </x:c>
      <x:c r="H45" s="737"/>
      <x:c r="I45" s="737"/>
      <x:c r="J45" s="737"/>
      <x:c r="K45" s="737"/>
      <x:c r="L45" s="737"/>
      <x:c r="M45" s="737"/>
      <x:c r="N45" s="737"/>
      <x:c r="O45" s="94"/>
      <x:c r="P45" s="308"/>
      <x:c r="Q45" s="723"/>
      <x:c r="R45" s="725"/>
      <x:c r="S45" s="727"/>
      <x:c r="T45" s="729"/>
      <x:c r="U45" s="735" t="s">
        <x:v>49</x:v>
      </x:c>
      <x:c r="V45" s="736"/>
      <x:c r="W45" s="736" t="s">
        <x:v>146</x:v>
      </x:c>
      <x:c r="X45" s="736"/>
      <x:c r="Y45" s="65" t="s">
        <x:v>289</x:v>
      </x:c>
      <x:c r="Z45" s="66" t="s">
        <x:v>219</x:v>
      </x:c>
      <x:c r="AA45" s="736" t="s">
        <x:v>49</x:v>
      </x:c>
      <x:c r="AB45" s="736"/>
      <x:c r="AC45" s="736" t="s">
        <x:v>146</x:v>
      </x:c>
      <x:c r="AD45" s="736"/>
      <x:c r="AE45" s="70" t="s">
        <x:v>241</x:v>
      </x:c>
      <x:c r="AF45" s="69" t="s">
        <x:v>219</x:v>
      </x:c>
      <x:c r="AG45" s="736" t="s">
        <x:v>49</x:v>
      </x:c>
      <x:c r="AH45" s="736"/>
      <x:c r="AI45" s="736" t="s">
        <x:v>146</x:v>
      </x:c>
      <x:c r="AJ45" s="736"/>
      <x:c r="AK45" s="72" t="s">
        <x:v>241</x:v>
      </x:c>
      <x:c r="AL45" s="71" t="s">
        <x:v>219</x:v>
      </x:c>
      <x:c r="AM45" s="736"/>
      <x:c r="AN45" s="149" t="s">
        <x:v>219</x:v>
      </x:c>
    </x:row>
    <x:row r="46" spans="1:40">
      <x:c r="A46" s="716"/>
      <x:c r="B46" s="333" t="str">
        <x:f>B5</x:f>
        <x:v>5층 2-11반</x:v>
      </x:c>
      <x:c r="C46" s="333" t="str">
        <x:f>C5</x:f>
        <x:v>14:02 ~ 14:12</x:v>
      </x:c>
      <x:c r="D46" s="92">
        <x:v>1</x:v>
      </x:c>
      <x:c r="E46" s="655">
        <x:v>7</x:v>
      </x:c>
      <x:c r="F46" s="655"/>
      <x:c r="G46" s="655">
        <x:v>1</x:v>
      </x:c>
      <x:c r="H46" s="655"/>
      <x:c r="I46" s="653"/>
      <x:c r="J46" s="654"/>
      <x:c r="K46" s="655"/>
      <x:c r="L46" s="655"/>
      <x:c r="M46" s="655"/>
      <x:c r="N46" s="655"/>
      <x:c r="O46" s="95"/>
      <x:c r="P46" s="309"/>
      <x:c r="Q46" s="412" t="s">
        <x:v>482</x:v>
      </x:c>
      <x:c r="R46" s="220">
        <x:f>MIN(Z46,AF46,AL46)</x:f>
        <x:v>80.852562902751416</x:v>
      </x:c>
      <x:c r="S46" s="221">
        <x:f t="shared" ref="S46:S49" si="19">MAX(Z46,AF46,AL46)</x:f>
        <x:v>80.852562902751416</x:v>
      </x:c>
      <x:c r="T46" s="222">
        <x:f>AN46</x:f>
        <x:v>0</x:v>
      </x:c>
      <x:c r="U46" s="738">
        <x:f>IF(E46=0,"0",LOOKUP(E46,'부유세균 환산표'!$A$2:$B$402))</x:f>
        <x:v>7</x:v>
      </x:c>
      <x:c r="V46" s="739"/>
      <x:c r="W46" s="739">
        <x:f>IF(G46=0,"0",LOOKUP(G46,'부유세균 환산표'!$A$2:$B$402))</x:f>
        <x:v>1</x:v>
      </x:c>
      <x:c r="X46" s="739"/>
      <x:c r="Y46" s="63">
        <x:f>SUM(U46:X46)</x:f>
        <x:v>8</x:v>
      </x:c>
      <x:c r="Z46" s="63">
        <x:f>(Y46/'포집유량 보정'!N8)</x:f>
        <x:v>80.852562902751416</x:v>
      </x:c>
      <x:c r="AA46" s="739"/>
      <x:c r="AB46" s="739"/>
      <x:c r="AC46" s="739"/>
      <x:c r="AD46" s="739"/>
      <x:c r="AE46" s="63"/>
      <x:c r="AF46" s="63"/>
      <x:c r="AG46" s="739"/>
      <x:c r="AH46" s="739"/>
      <x:c r="AI46" s="739"/>
      <x:c r="AJ46" s="739"/>
      <x:c r="AK46" s="64"/>
      <x:c r="AL46" s="63"/>
      <x:c r="AM46" s="155"/>
      <x:c r="AN46" s="63"/>
    </x:row>
    <x:row r="47" spans="1:43">
      <x:c r="A47" s="715"/>
      <x:c r="B47" s="333" t="str">
        <x:f t="shared" ref="B47:C47" si="20">B6</x:f>
        <x:v>4층 2-4반</x:v>
      </x:c>
      <x:c r="C47" s="333" t="str">
        <x:f t="shared" si="20"/>
        <x:v>14:13 ~ 14:23</x:v>
      </x:c>
      <x:c r="D47" s="92">
        <x:v>1</x:v>
      </x:c>
      <x:c r="E47" s="655">
        <x:v>17</x:v>
      </x:c>
      <x:c r="F47" s="655"/>
      <x:c r="G47" s="655">
        <x:v>7</x:v>
      </x:c>
      <x:c r="H47" s="655"/>
      <x:c r="I47" s="653"/>
      <x:c r="J47" s="654"/>
      <x:c r="K47" s="655"/>
      <x:c r="L47" s="655"/>
      <x:c r="M47" s="655"/>
      <x:c r="N47" s="655"/>
      <x:c r="O47" s="95"/>
      <x:c r="P47" s="302"/>
      <x:c r="Q47" s="413"/>
      <x:c r="R47" s="220">
        <x:f>MIN(Z47,AF47,AL47)</x:f>
        <x:v>242.16029462572683</x:v>
      </x:c>
      <x:c r="S47" s="221">
        <x:f t="shared" si="19"/>
        <x:v>242.16029462572683</x:v>
      </x:c>
      <x:c r="T47" s="222">
        <x:f>AN47</x:f>
        <x:v>0</x:v>
      </x:c>
      <x:c r="U47" s="738">
        <x:f>IF(E47=0,"0",LOOKUP(E47,'부유세균 환산표'!$A$2:$B$402))</x:f>
        <x:v>17</x:v>
      </x:c>
      <x:c r="V47" s="739"/>
      <x:c r="W47" s="739">
        <x:f>IF(G47=0,"0",LOOKUP(G47,'부유세균 환산표'!$A$2:$B$402))</x:f>
        <x:v>7</x:v>
      </x:c>
      <x:c r="X47" s="739"/>
      <x:c r="Y47" s="63">
        <x:f>SUM(U47:X47)</x:f>
        <x:v>24</x:v>
      </x:c>
      <x:c r="Z47" s="63">
        <x:f>(Y47/'포집유량 보정'!N9)</x:f>
        <x:v>242.16029462572683</x:v>
      </x:c>
      <x:c r="AA47" s="739"/>
      <x:c r="AB47" s="739"/>
      <x:c r="AC47" s="739"/>
      <x:c r="AD47" s="739"/>
      <x:c r="AE47" s="63"/>
      <x:c r="AF47" s="63"/>
      <x:c r="AG47" s="739"/>
      <x:c r="AH47" s="739"/>
      <x:c r="AI47" s="739"/>
      <x:c r="AJ47" s="739"/>
      <x:c r="AK47" s="64"/>
      <x:c r="AL47" s="63"/>
      <x:c r="AM47" s="155"/>
      <x:c r="AN47" s="63"/>
      <x:c r="AO47" s="63"/>
      <x:c r="AP47" s="155"/>
      <x:c r="AQ47" s="63"/>
    </x:row>
    <x:row r="48" spans="1:40" ht="26.399999999999999">
      <x:c r="A48" s="715"/>
      <x:c r="B48" s="333" t="str">
        <x:f t="shared" ref="B48:C48" si="21">B7</x:f>
        <x:v>1층 (도제)회계실무실습실</x:v>
      </x:c>
      <x:c r="C48" s="333" t="str">
        <x:f t="shared" si="21"/>
        <x:v>15:00 ~ 15:10</x:v>
      </x:c>
      <x:c r="D48" s="92">
        <x:v>1</x:v>
      </x:c>
      <x:c r="E48" s="655">
        <x:v>1</x:v>
      </x:c>
      <x:c r="F48" s="655"/>
      <x:c r="G48" s="655">
        <x:v>2</x:v>
      </x:c>
      <x:c r="H48" s="655"/>
      <x:c r="I48" s="653"/>
      <x:c r="J48" s="654"/>
      <x:c r="K48" s="655"/>
      <x:c r="L48" s="655"/>
      <x:c r="M48" s="655"/>
      <x:c r="N48" s="655"/>
      <x:c r="O48" s="95"/>
      <x:c r="P48" s="302"/>
      <x:c r="Q48" s="413"/>
      <x:c r="R48" s="220">
        <x:f>MIN(Z48,AF48,AL48)</x:f>
        <x:v>30.304173117377232</x:v>
      </x:c>
      <x:c r="S48" s="221">
        <x:f t="shared" si="19"/>
        <x:v>30.304173117377232</x:v>
      </x:c>
      <x:c r="T48" s="222">
        <x:f>AN48</x:f>
        <x:v>0</x:v>
      </x:c>
      <x:c r="U48" s="738">
        <x:f>IF(E48=0,"0",LOOKUP(E48,'부유세균 환산표'!$A$2:$B$402))</x:f>
        <x:v>1</x:v>
      </x:c>
      <x:c r="V48" s="739"/>
      <x:c r="W48" s="739">
        <x:f>IF(G48=0,"0",LOOKUP(G48,'부유세균 환산표'!$A$2:$B$402))</x:f>
        <x:v>2</x:v>
      </x:c>
      <x:c r="X48" s="739"/>
      <x:c r="Y48" s="63">
        <x:f>SUM(U48:X48)</x:f>
        <x:v>3</x:v>
      </x:c>
      <x:c r="Z48" s="63">
        <x:f>(Y48/'포집유량 보정'!N10)</x:f>
        <x:v>30.304173117377232</x:v>
      </x:c>
      <x:c r="AA48" s="739"/>
      <x:c r="AB48" s="739"/>
      <x:c r="AC48" s="739"/>
      <x:c r="AD48" s="739"/>
      <x:c r="AE48" s="63"/>
      <x:c r="AF48" s="63"/>
      <x:c r="AG48" s="739"/>
      <x:c r="AH48" s="739"/>
      <x:c r="AI48" s="739"/>
      <x:c r="AJ48" s="739"/>
      <x:c r="AK48" s="64"/>
      <x:c r="AL48" s="63"/>
      <x:c r="AM48" s="155"/>
      <x:c r="AN48" s="63"/>
    </x:row>
    <x:row r="49" spans="1:40">
      <x:c r="A49" s="716"/>
      <x:c r="B49" s="415">
        <x:f>B8</x:f>
        <x:v>0</x:v>
      </x:c>
      <x:c r="C49" s="415">
        <x:f>C8</x:f>
        <x:v>0</x:v>
      </x:c>
      <x:c r="D49" s="287">
        <x:v>1</x:v>
      </x:c>
      <x:c r="E49" s="740"/>
      <x:c r="F49" s="740"/>
      <x:c r="G49" s="740"/>
      <x:c r="H49" s="740"/>
      <x:c r="I49" s="741"/>
      <x:c r="J49" s="742"/>
      <x:c r="K49" s="740"/>
      <x:c r="L49" s="740"/>
      <x:c r="M49" s="740"/>
      <x:c r="N49" s="740"/>
      <x:c r="O49" s="416"/>
      <x:c r="P49" s="417"/>
      <x:c r="Q49" s="418"/>
      <x:c r="R49" s="419">
        <x:f>MIN(Z49,AF49,AL49)</x:f>
        <x:v>0</x:v>
      </x:c>
      <x:c r="S49" s="420">
        <x:f t="shared" si="19"/>
        <x:v>0</x:v>
      </x:c>
      <x:c r="T49" s="421">
        <x:f>AN49</x:f>
        <x:v>0</x:v>
      </x:c>
      <x:c r="U49" s="738" t="str">
        <x:f>IF(E49=0,"0",LOOKUP(E49,'부유세균 환산표'!$A$2:$B$402))</x:f>
        <x:v>0</x:v>
      </x:c>
      <x:c r="V49" s="739"/>
      <x:c r="W49" s="739" t="str">
        <x:f>IF(G49=0,"0",LOOKUP(G49,'부유세균 환산표'!$A$2:$B$402))</x:f>
        <x:v>0</x:v>
      </x:c>
      <x:c r="X49" s="739"/>
      <x:c r="Y49" s="63">
        <x:f>SUM(U49:X49)</x:f>
        <x:v>0</x:v>
      </x:c>
      <x:c r="Z49" s="63">
        <x:f>(Y49/'포집유량 보정'!N9)</x:f>
        <x:v>0</x:v>
      </x:c>
      <x:c r="AA49" s="739"/>
      <x:c r="AB49" s="739"/>
      <x:c r="AC49" s="739"/>
      <x:c r="AD49" s="739"/>
      <x:c r="AE49" s="63"/>
      <x:c r="AF49" s="63"/>
      <x:c r="AG49" s="739"/>
      <x:c r="AH49" s="739"/>
      <x:c r="AI49" s="739"/>
      <x:c r="AJ49" s="739"/>
      <x:c r="AK49" s="64"/>
      <x:c r="AL49" s="63"/>
      <x:c r="AM49" s="155"/>
      <x:c r="AN49" s="63"/>
    </x:row>
    <x:row r="50" spans="1:39" ht="16.649999999999999" customHeight="1">
      <x:c r="A50" s="715" t="s">
        <x:v>90</x:v>
      </x:c>
      <x:c r="B50" s="599" t="s">
        <x:v>239</x:v>
      </x:c>
      <x:c r="C50" s="599" t="s">
        <x:v>104</x:v>
      </x:c>
      <x:c r="D50" s="599" t="s">
        <x:v>256</x:v>
      </x:c>
      <x:c r="E50" s="717" t="s">
        <x:v>305</x:v>
      </x:c>
      <x:c r="F50" s="717"/>
      <x:c r="G50" s="717"/>
      <x:c r="H50" s="717"/>
      <x:c r="I50" s="718" t="s">
        <x:v>265</x:v>
      </x:c>
      <x:c r="J50" s="719"/>
      <x:c r="K50" s="719"/>
      <x:c r="L50" s="720"/>
      <x:c r="M50" s="717" t="s">
        <x:v>240</x:v>
      </x:c>
      <x:c r="N50" s="717"/>
      <x:c r="O50" s="721"/>
      <x:c r="P50" s="307"/>
      <x:c r="Q50" s="722" t="s">
        <x:v>48</x:v>
      </x:c>
      <x:c r="R50" s="724" t="s">
        <x:v>235</x:v>
      </x:c>
      <x:c r="S50" s="726" t="s">
        <x:v>202</x:v>
      </x:c>
      <x:c r="T50" s="728" t="s">
        <x:v>200</x:v>
      </x:c>
      <x:c r="U50" s="730" t="s">
        <x:v>305</x:v>
      </x:c>
      <x:c r="V50" s="730"/>
      <x:c r="W50" s="730"/>
      <x:c r="X50" s="730"/>
      <x:c r="Y50" s="730"/>
      <x:c r="Z50" s="731"/>
      <x:c r="AA50" s="732" t="s">
        <x:v>265</x:v>
      </x:c>
      <x:c r="AB50" s="730"/>
      <x:c r="AC50" s="730"/>
      <x:c r="AD50" s="730"/>
      <x:c r="AE50" s="730"/>
      <x:c r="AF50" s="731"/>
      <x:c r="AG50" s="733" t="s">
        <x:v>240</x:v>
      </x:c>
      <x:c r="AH50" s="734"/>
      <x:c r="AI50" s="734"/>
      <x:c r="AJ50" s="734"/>
      <x:c r="AK50" s="734"/>
      <x:c r="AL50" s="735"/>
      <x:c r="AM50" s="736" t="s">
        <x:v>387</x:v>
      </x:c>
    </x:row>
    <x:row r="51" spans="1:40" ht="32.25" customHeight="1">
      <x:c r="A51" s="716"/>
      <x:c r="B51" s="664"/>
      <x:c r="C51" s="664"/>
      <x:c r="D51" s="664"/>
      <x:c r="E51" s="737" t="s">
        <x:v>49</x:v>
      </x:c>
      <x:c r="F51" s="737"/>
      <x:c r="G51" s="737" t="s">
        <x:v>146</x:v>
      </x:c>
      <x:c r="H51" s="737"/>
      <x:c r="I51" s="737" t="s">
        <x:v>49</x:v>
      </x:c>
      <x:c r="J51" s="737"/>
      <x:c r="K51" s="737" t="s">
        <x:v>146</x:v>
      </x:c>
      <x:c r="L51" s="737"/>
      <x:c r="M51" s="737" t="s">
        <x:v>49</x:v>
      </x:c>
      <x:c r="N51" s="737"/>
      <x:c r="O51" s="94" t="s">
        <x:v>146</x:v>
      </x:c>
      <x:c r="P51" s="308"/>
      <x:c r="Q51" s="723"/>
      <x:c r="R51" s="725"/>
      <x:c r="S51" s="727"/>
      <x:c r="T51" s="729"/>
      <x:c r="U51" s="735" t="s">
        <x:v>49</x:v>
      </x:c>
      <x:c r="V51" s="736"/>
      <x:c r="W51" s="736" t="s">
        <x:v>146</x:v>
      </x:c>
      <x:c r="X51" s="736"/>
      <x:c r="Y51" s="65" t="s">
        <x:v>289</x:v>
      </x:c>
      <x:c r="Z51" s="66" t="s">
        <x:v>219</x:v>
      </x:c>
      <x:c r="AA51" s="736" t="s">
        <x:v>49</x:v>
      </x:c>
      <x:c r="AB51" s="736"/>
      <x:c r="AC51" s="736" t="s">
        <x:v>146</x:v>
      </x:c>
      <x:c r="AD51" s="736"/>
      <x:c r="AE51" s="65" t="s">
        <x:v>289</x:v>
      </x:c>
      <x:c r="AF51" s="69" t="s">
        <x:v>219</x:v>
      </x:c>
      <x:c r="AG51" s="736" t="s">
        <x:v>49</x:v>
      </x:c>
      <x:c r="AH51" s="736"/>
      <x:c r="AI51" s="736" t="s">
        <x:v>146</x:v>
      </x:c>
      <x:c r="AJ51" s="736"/>
      <x:c r="AK51" s="72" t="s">
        <x:v>241</x:v>
      </x:c>
      <x:c r="AL51" s="65" t="s">
        <x:v>289</x:v>
      </x:c>
      <x:c r="AM51" s="736"/>
      <x:c r="AN51" s="65"/>
    </x:row>
    <x:row r="52" spans="1:41">
      <x:c r="A52" s="716"/>
      <x:c r="B52" s="389" t="str">
        <x:f>B23</x:f>
        <x:v>급식시설</x:v>
      </x:c>
      <x:c r="C52" s="389" t="str">
        <x:f>C23</x:f>
        <x:v>14:46 ~ 14:56</x:v>
      </x:c>
      <x:c r="D52" s="389">
        <x:v>3</x:v>
      </x:c>
      <x:c r="E52" s="661">
        <x:v>0</x:v>
      </x:c>
      <x:c r="F52" s="661"/>
      <x:c r="G52" s="661">
        <x:v>0</x:v>
      </x:c>
      <x:c r="H52" s="661"/>
      <x:c r="I52" s="659">
        <x:v>0</x:v>
      </x:c>
      <x:c r="J52" s="660"/>
      <x:c r="K52" s="661">
        <x:v>0</x:v>
      </x:c>
      <x:c r="L52" s="661"/>
      <x:c r="M52" s="661">
        <x:v>0</x:v>
      </x:c>
      <x:c r="N52" s="661"/>
      <x:c r="O52" s="477">
        <x:v>0</x:v>
      </x:c>
      <x:c r="P52" s="478"/>
      <x:c r="Q52" s="479" t="s">
        <x:v>121</x:v>
      </x:c>
      <x:c r="R52" s="480">
        <x:f>MIN(Y52,AE52,AK52)</x:f>
        <x:v>0</x:v>
      </x:c>
      <x:c r="S52" s="481">
        <x:f>MAX(Y52,AE52,AL52)</x:f>
        <x:v>0</x:v>
      </x:c>
      <x:c r="T52" s="395">
        <x:f>AM52</x:f>
        <x:v>0</x:v>
      </x:c>
      <x:c r="U52" s="744" t="str">
        <x:f>IF(E52=0,"0",LOOKUP(E52,'부유세균 환산표'!$A$2:$B$402))</x:f>
        <x:v>0</x:v>
      </x:c>
      <x:c r="V52" s="745"/>
      <x:c r="W52" s="745" t="str">
        <x:f>IF(G52=0,"0",LOOKUP(G52,'부유세균 환산표'!$A$2:$B$402))</x:f>
        <x:v>0</x:v>
      </x:c>
      <x:c r="X52" s="745"/>
      <x:c r="Y52" s="482">
        <x:f>SUM(U52:X52)</x:f>
        <x:v>0</x:v>
      </x:c>
      <x:c r="Z52" s="482" t="s">
        <x:v>204</x:v>
      </x:c>
      <x:c r="AA52" s="745" t="str">
        <x:f>IF(I52=0,"0",LOOKUP(I52,'부유세균 환산표'!$A$2:$B$402))</x:f>
        <x:v>0</x:v>
      </x:c>
      <x:c r="AB52" s="745"/>
      <x:c r="AC52" s="745" t="str">
        <x:f>IF(K52=0,"0",LOOKUP(K52,'부유세균 환산표'!$A$2:$B$402))</x:f>
        <x:v>0</x:v>
      </x:c>
      <x:c r="AD52" s="745"/>
      <x:c r="AE52" s="482">
        <x:f>SUM(AA52:AD52)</x:f>
        <x:v>0</x:v>
      </x:c>
      <x:c r="AF52" s="482" t="s">
        <x:v>204</x:v>
      </x:c>
      <x:c r="AG52" s="745" t="str">
        <x:f>IF(M52=0,"0",LOOKUP(M52,'부유세균 환산표'!$A$2:$B$402))</x:f>
        <x:v>0</x:v>
      </x:c>
      <x:c r="AH52" s="745"/>
      <x:c r="AI52" s="745" t="str">
        <x:f>IF(O52=0,"0",LOOKUP(O52,'부유세균 환산표'!$A$2:$B$402))</x:f>
        <x:v>0</x:v>
      </x:c>
      <x:c r="AJ52" s="745"/>
      <x:c r="AK52" s="483">
        <x:f>SUM(AG52:AI52)</x:f>
        <x:v>0</x:v>
      </x:c>
      <x:c r="AL52" s="482">
        <x:f>AK52</x:f>
        <x:v>0</x:v>
      </x:c>
      <x:c r="AM52" s="484">
        <x:f>AVERAGE(Y52,AE52,AL52)</x:f>
        <x:v>0</x:v>
      </x:c>
      <x:c r="AN52" s="482" t="s">
        <x:v>204</x:v>
      </x:c>
      <x:c r="AO52" s="396" t="s">
        <x:v>308</x:v>
      </x:c>
    </x:row>
    <x:row r="53" spans="1:41">
      <x:c r="A53" s="716"/>
      <x:c r="B53" s="485" t="s">
        <x:v>271</x:v>
      </x:c>
      <x:c r="C53" s="485" t="s">
        <x:v>403</x:v>
      </x:c>
      <x:c r="D53" s="485">
        <x:v>3</x:v>
      </x:c>
      <x:c r="E53" s="746">
        <x:v>0</x:v>
      </x:c>
      <x:c r="F53" s="746"/>
      <x:c r="G53" s="746">
        <x:v>0</x:v>
      </x:c>
      <x:c r="H53" s="746"/>
      <x:c r="I53" s="747">
        <x:v>1</x:v>
      </x:c>
      <x:c r="J53" s="748"/>
      <x:c r="K53" s="746">
        <x:v>0</x:v>
      </x:c>
      <x:c r="L53" s="746"/>
      <x:c r="M53" s="746">
        <x:v>0</x:v>
      </x:c>
      <x:c r="N53" s="746"/>
      <x:c r="O53" s="486">
        <x:v>1</x:v>
      </x:c>
      <x:c r="P53" s="487"/>
      <x:c r="Q53" s="488"/>
      <x:c r="R53" s="489">
        <x:f t="shared" ref="R53:R55" si="22">MIN(Y53,AE53,AK53)</x:f>
        <x:v>0</x:v>
      </x:c>
      <x:c r="S53" s="490">
        <x:f t="shared" ref="S53:S55" si="23">MAX(Y53,AE53,AL53)</x:f>
        <x:v>1</x:v>
      </x:c>
      <x:c r="T53" s="491">
        <x:f t="shared" ref="T53:T55" si="24">AM53</x:f>
        <x:v>0.66666666666666663</x:v>
      </x:c>
      <x:c r="U53" s="749" t="str">
        <x:f>IF(E53=0,"0",LOOKUP(E53,'부유세균 환산표'!$A$2:$B$402))</x:f>
        <x:v>0</x:v>
      </x:c>
      <x:c r="V53" s="750"/>
      <x:c r="W53" s="750" t="str">
        <x:f>IF(G53=0,"0",LOOKUP(G53,'부유세균 환산표'!$A$2:$B$402))</x:f>
        <x:v>0</x:v>
      </x:c>
      <x:c r="X53" s="750"/>
      <x:c r="Y53" s="492">
        <x:f t="shared" ref="Y53:Y55" si="25">SUM(U53:X53)</x:f>
        <x:v>0</x:v>
      </x:c>
      <x:c r="Z53" s="492" t="s">
        <x:v>204</x:v>
      </x:c>
      <x:c r="AA53" s="750">
        <x:f>IF(I53=0,"0",LOOKUP(I53,'부유세균 환산표'!$A$2:$B$402))</x:f>
        <x:v>1</x:v>
      </x:c>
      <x:c r="AB53" s="750"/>
      <x:c r="AC53" s="750" t="str">
        <x:f>IF(K53=0,"0",LOOKUP(K53,'부유세균 환산표'!$A$2:$B$402))</x:f>
        <x:v>0</x:v>
      </x:c>
      <x:c r="AD53" s="750"/>
      <x:c r="AE53" s="492">
        <x:f t="shared" ref="AE53:AE55" si="26">SUM(AA53:AD53)</x:f>
        <x:v>1</x:v>
      </x:c>
      <x:c r="AF53" s="492" t="s">
        <x:v>204</x:v>
      </x:c>
      <x:c r="AG53" s="750" t="str">
        <x:f>IF(M53=0,"0",LOOKUP(M53,'부유세균 환산표'!$A$2:$B$402))</x:f>
        <x:v>0</x:v>
      </x:c>
      <x:c r="AH53" s="750"/>
      <x:c r="AI53" s="750">
        <x:f>IF(O53=0,"0",LOOKUP(O53,'부유세균 환산표'!$A$2:$B$402))</x:f>
        <x:v>1</x:v>
      </x:c>
      <x:c r="AJ53" s="750"/>
      <x:c r="AK53" s="493">
        <x:f t="shared" ref="AK53:AK55" si="27">SUM(AG53:AI53)</x:f>
        <x:v>1</x:v>
      </x:c>
      <x:c r="AL53" s="492">
        <x:f t="shared" ref="AL53:AL55" si="28">AK53</x:f>
        <x:v>1</x:v>
      </x:c>
      <x:c r="AM53" s="494">
        <x:f t="shared" ref="AM53:AM55" si="29">AVERAGE(Y53,AE53,AK53)</x:f>
        <x:v>0.66666666666666663</x:v>
      </x:c>
      <x:c r="AN53" s="492" t="s">
        <x:v>204</x:v>
      </x:c>
      <x:c r="AO53" s="495" t="s">
        <x:v>271</x:v>
      </x:c>
    </x:row>
    <x:row r="54" spans="1:40">
      <x:c r="A54" s="716"/>
      <x:c r="B54" s="88"/>
      <x:c r="C54" s="88"/>
      <x:c r="D54" s="88">
        <x:v>3</x:v>
      </x:c>
      <x:c r="E54" s="655"/>
      <x:c r="F54" s="655"/>
      <x:c r="G54" s="655"/>
      <x:c r="H54" s="655"/>
      <x:c r="I54" s="653"/>
      <x:c r="J54" s="654"/>
      <x:c r="K54" s="655"/>
      <x:c r="L54" s="655"/>
      <x:c r="M54" s="655"/>
      <x:c r="N54" s="655"/>
      <x:c r="O54" s="95"/>
      <x:c r="P54" s="302"/>
      <x:c r="Q54" s="413"/>
      <x:c r="R54" s="242">
        <x:f t="shared" si="22"/>
        <x:v>0</x:v>
      </x:c>
      <x:c r="S54" s="243">
        <x:f t="shared" si="23"/>
        <x:v>0</x:v>
      </x:c>
      <x:c r="T54" s="173">
        <x:f t="shared" si="24"/>
        <x:v>0</x:v>
      </x:c>
      <x:c r="U54" s="738" t="str">
        <x:f>IF(E54=0,"0",LOOKUP(E54,'부유세균 환산표'!$A$2:$B$402))</x:f>
        <x:v>0</x:v>
      </x:c>
      <x:c r="V54" s="739"/>
      <x:c r="W54" s="739" t="str">
        <x:f>IF(G54=0,"0",LOOKUP(G54,'부유세균 환산표'!$A$2:$B$402))</x:f>
        <x:v>0</x:v>
      </x:c>
      <x:c r="X54" s="739"/>
      <x:c r="Y54" s="63">
        <x:f t="shared" si="25"/>
        <x:v>0</x:v>
      </x:c>
      <x:c r="Z54" s="63" t="s">
        <x:v>204</x:v>
      </x:c>
      <x:c r="AA54" s="739" t="str">
        <x:f>IF(I54=0,"0",LOOKUP(I54,'부유세균 환산표'!$A$2:$B$402))</x:f>
        <x:v>0</x:v>
      </x:c>
      <x:c r="AB54" s="739"/>
      <x:c r="AC54" s="739" t="str">
        <x:f>IF(K54=0,"0",LOOKUP(K54,'부유세균 환산표'!$A$2:$B$402))</x:f>
        <x:v>0</x:v>
      </x:c>
      <x:c r="AD54" s="739"/>
      <x:c r="AE54" s="63">
        <x:f t="shared" si="26"/>
        <x:v>0</x:v>
      </x:c>
      <x:c r="AF54" s="63" t="s">
        <x:v>204</x:v>
      </x:c>
      <x:c r="AG54" s="739" t="str">
        <x:f>IF(M54=0,"0",LOOKUP(M54,'부유세균 환산표'!$A$2:$B$402))</x:f>
        <x:v>0</x:v>
      </x:c>
      <x:c r="AH54" s="739"/>
      <x:c r="AI54" s="739" t="str">
        <x:f>IF(O54=0,"0",LOOKUP(O54,'부유세균 환산표'!$A$2:$B$402))</x:f>
        <x:v>0</x:v>
      </x:c>
      <x:c r="AJ54" s="739"/>
      <x:c r="AK54" s="64">
        <x:f t="shared" si="27"/>
        <x:v>0</x:v>
      </x:c>
      <x:c r="AL54" s="63">
        <x:f t="shared" si="28"/>
        <x:v>0</x:v>
      </x:c>
      <x:c r="AM54" s="155">
        <x:f t="shared" si="29"/>
        <x:v>0</x:v>
      </x:c>
      <x:c r="AN54" s="63" t="s">
        <x:v>204</x:v>
      </x:c>
    </x:row>
    <x:row r="55" spans="1:40">
      <x:c r="A55" s="743"/>
      <x:c r="B55" s="90"/>
      <x:c r="C55" s="90"/>
      <x:c r="D55" s="90">
        <x:v>3</x:v>
      </x:c>
      <x:c r="E55" s="751"/>
      <x:c r="F55" s="751"/>
      <x:c r="G55" s="752"/>
      <x:c r="H55" s="752"/>
      <x:c r="I55" s="753"/>
      <x:c r="J55" s="754"/>
      <x:c r="K55" s="752"/>
      <x:c r="L55" s="752"/>
      <x:c r="M55" s="752"/>
      <x:c r="N55" s="752"/>
      <x:c r="O55" s="218"/>
      <x:c r="P55" s="302"/>
      <x:c r="Q55" s="414"/>
      <x:c r="R55" s="244">
        <x:f t="shared" si="22"/>
        <x:v>0</x:v>
      </x:c>
      <x:c r="S55" s="245">
        <x:f t="shared" si="23"/>
        <x:v>0</x:v>
      </x:c>
      <x:c r="T55" s="175">
        <x:f t="shared" si="24"/>
        <x:v>0</x:v>
      </x:c>
      <x:c r="U55" s="738" t="str">
        <x:f>IF(E55=0,"0",LOOKUP(E55,'부유세균 환산표'!$A$2:$B$402))</x:f>
        <x:v>0</x:v>
      </x:c>
      <x:c r="V55" s="739"/>
      <x:c r="W55" s="739" t="str">
        <x:f>IF(G55=0,"0",LOOKUP(G55,'부유세균 환산표'!$A$2:$B$402))</x:f>
        <x:v>0</x:v>
      </x:c>
      <x:c r="X55" s="739"/>
      <x:c r="Y55" s="63">
        <x:f t="shared" si="25"/>
        <x:v>0</x:v>
      </x:c>
      <x:c r="Z55" s="63" t="s">
        <x:v>204</x:v>
      </x:c>
      <x:c r="AA55" s="739" t="str">
        <x:f>IF(I55=0,"0",LOOKUP(I55,'부유세균 환산표'!$A$2:$B$402))</x:f>
        <x:v>0</x:v>
      </x:c>
      <x:c r="AB55" s="739"/>
      <x:c r="AC55" s="739" t="str">
        <x:f>IF(K55=0,"0",LOOKUP(K55,'부유세균 환산표'!$A$2:$B$402))</x:f>
        <x:v>0</x:v>
      </x:c>
      <x:c r="AD55" s="739"/>
      <x:c r="AE55" s="63">
        <x:f t="shared" si="26"/>
        <x:v>0</x:v>
      </x:c>
      <x:c r="AF55" s="63" t="s">
        <x:v>204</x:v>
      </x:c>
      <x:c r="AG55" s="739" t="str">
        <x:f>IF(M55=0,"0",LOOKUP(M55,'부유세균 환산표'!$A$2:$B$402))</x:f>
        <x:v>0</x:v>
      </x:c>
      <x:c r="AH55" s="739"/>
      <x:c r="AI55" s="739" t="str">
        <x:f>IF(O55=0,"0",LOOKUP(O55,'부유세균 환산표'!$A$2:$B$402))</x:f>
        <x:v>0</x:v>
      </x:c>
      <x:c r="AJ55" s="739"/>
      <x:c r="AK55" s="64">
        <x:f t="shared" si="27"/>
        <x:v>0</x:v>
      </x:c>
      <x:c r="AL55" s="63">
        <x:f t="shared" si="28"/>
        <x:v>0</x:v>
      </x:c>
      <x:c r="AM55" s="155">
        <x:f t="shared" si="29"/>
        <x:v>0</x:v>
      </x:c>
      <x:c r="AN55" s="63" t="s">
        <x:v>204</x:v>
      </x:c>
    </x:row>
    <x:row r="56" spans="1:40" ht="12.75" customHeight="1">
      <x:c r="A56" s="755"/>
      <x:c r="B56" s="756"/>
      <x:c r="C56" s="756"/>
      <x:c r="D56" s="756"/>
      <x:c r="E56" s="756"/>
      <x:c r="F56" s="756"/>
      <x:c r="G56" s="757" t="s">
        <x:v>99</x:v>
      </x:c>
      <x:c r="H56" s="758"/>
      <x:c r="I56" s="758" t="s">
        <x:v>154</x:v>
      </x:c>
      <x:c r="J56" s="758"/>
      <x:c r="K56" s="758" t="s">
        <x:v>71</x:v>
      </x:c>
      <x:c r="L56" s="758"/>
      <x:c r="M56" s="759" t="s">
        <x:v>111</x:v>
      </x:c>
      <x:c r="N56" s="760"/>
      <x:c r="O56" s="760"/>
      <x:c r="P56" s="761"/>
      <x:c r="Q56" s="114"/>
      <x:c r="R56" s="246"/>
      <x:c r="S56" s="247"/>
      <x:c r="T56" s="301"/>
      <x:c r="U56" s="86"/>
      <x:c r="V56" s="86"/>
      <x:c r="W56" s="86"/>
      <x:c r="X56" s="86"/>
      <x:c r="Y56" s="86"/>
      <x:c r="Z56" s="86"/>
      <x:c r="AA56" s="86"/>
      <x:c r="AB56" s="86"/>
      <x:c r="AC56" s="86"/>
      <x:c r="AD56" s="86"/>
      <x:c r="AE56" s="86"/>
      <x:c r="AF56" s="86"/>
      <x:c r="AG56" s="86"/>
      <x:c r="AH56" s="86"/>
      <x:c r="AI56" s="86"/>
      <x:c r="AJ56" s="86"/>
      <x:c r="AK56" s="87"/>
      <x:c r="AL56" s="86"/>
      <x:c r="AN56" s="86"/>
    </x:row>
    <x:row r="57" spans="1:40" ht="12.449999999999999" customHeight="1">
      <x:c r="A57" s="715" t="s">
        <x:v>209</x:v>
      </x:c>
      <x:c r="B57" s="89"/>
      <x:c r="C57" s="89"/>
      <x:c r="D57" s="89">
        <x:v>1</x:v>
      </x:c>
      <x:c r="E57" s="652"/>
      <x:c r="F57" s="650"/>
      <x:c r="G57" s="288" t="s">
        <x:v>236</x:v>
      </x:c>
      <x:c r="H57" s="291"/>
      <x:c r="I57" s="287" t="s">
        <x:v>272</x:v>
      </x:c>
      <x:c r="J57" s="291"/>
      <x:c r="K57" s="287" t="s">
        <x:v>233</x:v>
      </x:c>
      <x:c r="L57" s="291"/>
      <x:c r="M57" s="287" t="s">
        <x:v>220</x:v>
      </x:c>
      <x:c r="N57" s="316"/>
      <x:c r="O57" s="303" t="s">
        <x:v>218</x:v>
      </x:c>
      <x:c r="P57" s="319"/>
      <x:c r="Q57" s="208"/>
      <x:c r="R57" s="246">
        <x:f t="shared" ref="R57:R62" si="30">E57</x:f>
        <x:v>0</x:v>
      </x:c>
      <x:c r="S57" s="247">
        <x:f t="shared" ref="S57:S62" si="31">E57</x:f>
        <x:v>0</x:v>
      </x:c>
      <x:c r="T57" s="248">
        <x:f t="shared" ref="T57:T62" si="32">E57</x:f>
        <x:v>0</x:v>
      </x:c>
      <x:c r="U57" s="86"/>
      <x:c r="V57" s="86"/>
      <x:c r="W57" s="86"/>
      <x:c r="X57" s="86"/>
      <x:c r="Y57" s="86"/>
      <x:c r="Z57" s="86"/>
      <x:c r="AA57" s="86"/>
      <x:c r="AB57" s="86"/>
      <x:c r="AC57" s="86"/>
      <x:c r="AD57" s="86"/>
      <x:c r="AE57" s="86"/>
      <x:c r="AF57" s="86"/>
      <x:c r="AG57" s="86"/>
      <x:c r="AH57" s="86"/>
      <x:c r="AI57" s="86"/>
      <x:c r="AJ57" s="86"/>
      <x:c r="AK57" s="87"/>
      <x:c r="AL57" s="86"/>
      <x:c r="AN57" s="86"/>
    </x:row>
    <x:row r="58" spans="1:40">
      <x:c r="A58" s="716"/>
      <x:c r="B58" s="88"/>
      <x:c r="C58" s="92"/>
      <x:c r="D58" s="92">
        <x:v>1</x:v>
      </x:c>
      <x:c r="E58" s="655"/>
      <x:c r="F58" s="653"/>
      <x:c r="G58" s="288" t="s">
        <x:v>236</x:v>
      </x:c>
      <x:c r="H58" s="291"/>
      <x:c r="I58" s="287" t="s">
        <x:v>272</x:v>
      </x:c>
      <x:c r="J58" s="291"/>
      <x:c r="K58" s="287" t="s">
        <x:v>233</x:v>
      </x:c>
      <x:c r="L58" s="291"/>
      <x:c r="M58" s="287" t="s">
        <x:v>220</x:v>
      </x:c>
      <x:c r="N58" s="316"/>
      <x:c r="O58" s="303" t="s">
        <x:v>218</x:v>
      </x:c>
      <x:c r="P58" s="319"/>
      <x:c r="Q58" s="286"/>
      <x:c r="R58" s="246">
        <x:f t="shared" si="30"/>
        <x:v>0</x:v>
      </x:c>
      <x:c r="S58" s="247">
        <x:f t="shared" si="31"/>
        <x:v>0</x:v>
      </x:c>
      <x:c r="T58" s="248">
        <x:f t="shared" si="32"/>
        <x:v>0</x:v>
      </x:c>
      <x:c r="U58" s="86"/>
      <x:c r="V58" s="86"/>
      <x:c r="W58" s="86"/>
      <x:c r="X58" s="86"/>
      <x:c r="Y58" s="86"/>
      <x:c r="Z58" s="86"/>
      <x:c r="AA58" s="86"/>
      <x:c r="AB58" s="86"/>
      <x:c r="AC58" s="86"/>
      <x:c r="AD58" s="86"/>
      <x:c r="AE58" s="86"/>
      <x:c r="AF58" s="86"/>
      <x:c r="AG58" s="86"/>
      <x:c r="AH58" s="86"/>
      <x:c r="AI58" s="86"/>
      <x:c r="AJ58" s="86"/>
      <x:c r="AK58" s="87"/>
      <x:c r="AL58" s="86"/>
      <x:c r="AN58" s="86"/>
    </x:row>
    <x:row r="59" spans="1:40">
      <x:c r="A59" s="716"/>
      <x:c r="B59" s="88"/>
      <x:c r="C59" s="92"/>
      <x:c r="D59" s="92">
        <x:v>1</x:v>
      </x:c>
      <x:c r="E59" s="678"/>
      <x:c r="F59" s="679"/>
      <x:c r="G59" s="288" t="s">
        <x:v>236</x:v>
      </x:c>
      <x:c r="H59" s="291"/>
      <x:c r="I59" s="287" t="s">
        <x:v>272</x:v>
      </x:c>
      <x:c r="J59" s="291"/>
      <x:c r="K59" s="287" t="s">
        <x:v>233</x:v>
      </x:c>
      <x:c r="L59" s="291"/>
      <x:c r="M59" s="287" t="s">
        <x:v>220</x:v>
      </x:c>
      <x:c r="N59" s="317"/>
      <x:c r="O59" s="303" t="s">
        <x:v>218</x:v>
      </x:c>
      <x:c r="P59" s="319"/>
      <x:c r="Q59" s="286"/>
      <x:c r="R59" s="246">
        <x:f t="shared" si="30"/>
        <x:v>0</x:v>
      </x:c>
      <x:c r="S59" s="247">
        <x:f t="shared" si="31"/>
        <x:v>0</x:v>
      </x:c>
      <x:c r="T59" s="248">
        <x:f t="shared" si="32"/>
        <x:v>0</x:v>
      </x:c>
      <x:c r="U59" s="86"/>
      <x:c r="V59" s="86"/>
      <x:c r="W59" s="86"/>
      <x:c r="X59" s="86"/>
      <x:c r="Y59" s="86"/>
      <x:c r="Z59" s="86"/>
      <x:c r="AA59" s="86"/>
      <x:c r="AB59" s="86"/>
      <x:c r="AC59" s="86"/>
      <x:c r="AD59" s="86"/>
      <x:c r="AE59" s="86"/>
      <x:c r="AF59" s="86"/>
      <x:c r="AG59" s="86"/>
      <x:c r="AH59" s="86"/>
      <x:c r="AI59" s="86"/>
      <x:c r="AJ59" s="86"/>
      <x:c r="AK59" s="87"/>
      <x:c r="AL59" s="86"/>
      <x:c r="AN59" s="86"/>
    </x:row>
    <x:row r="60" spans="1:40">
      <x:c r="A60" s="716"/>
      <x:c r="B60" s="88"/>
      <x:c r="C60" s="92"/>
      <x:c r="D60" s="92">
        <x:v>1</x:v>
      </x:c>
      <x:c r="E60" s="678"/>
      <x:c r="F60" s="679"/>
      <x:c r="G60" s="288" t="s">
        <x:v>236</x:v>
      </x:c>
      <x:c r="H60" s="291"/>
      <x:c r="I60" s="287" t="s">
        <x:v>272</x:v>
      </x:c>
      <x:c r="J60" s="291"/>
      <x:c r="K60" s="287" t="s">
        <x:v>233</x:v>
      </x:c>
      <x:c r="L60" s="291"/>
      <x:c r="M60" s="287" t="s">
        <x:v>220</x:v>
      </x:c>
      <x:c r="N60" s="316"/>
      <x:c r="O60" s="303" t="s">
        <x:v>218</x:v>
      </x:c>
      <x:c r="P60" s="319"/>
      <x:c r="Q60" s="286"/>
      <x:c r="R60" s="246">
        <x:f t="shared" si="30"/>
        <x:v>0</x:v>
      </x:c>
      <x:c r="S60" s="247">
        <x:f t="shared" si="31"/>
        <x:v>0</x:v>
      </x:c>
      <x:c r="T60" s="248">
        <x:f t="shared" si="32"/>
        <x:v>0</x:v>
      </x:c>
      <x:c r="U60" s="86"/>
      <x:c r="V60" s="86"/>
      <x:c r="W60" s="86"/>
      <x:c r="X60" s="86"/>
      <x:c r="Y60" s="86"/>
      <x:c r="Z60" s="86"/>
      <x:c r="AA60" s="86"/>
      <x:c r="AB60" s="86"/>
      <x:c r="AC60" s="86"/>
      <x:c r="AD60" s="86"/>
      <x:c r="AE60" s="86"/>
      <x:c r="AF60" s="86"/>
      <x:c r="AG60" s="86"/>
      <x:c r="AH60" s="86"/>
      <x:c r="AI60" s="86"/>
      <x:c r="AJ60" s="86"/>
      <x:c r="AK60" s="87"/>
      <x:c r="AL60" s="86"/>
      <x:c r="AN60" s="86"/>
    </x:row>
    <x:row r="61" spans="1:40">
      <x:c r="A61" s="716"/>
      <x:c r="B61" s="88"/>
      <x:c r="C61" s="88"/>
      <x:c r="D61" s="88">
        <x:v>1</x:v>
      </x:c>
      <x:c r="E61" s="655"/>
      <x:c r="F61" s="653"/>
      <x:c r="G61" s="288" t="s">
        <x:v>236</x:v>
      </x:c>
      <x:c r="H61" s="291"/>
      <x:c r="I61" s="287" t="s">
        <x:v>272</x:v>
      </x:c>
      <x:c r="J61" s="291"/>
      <x:c r="K61" s="287" t="s">
        <x:v>233</x:v>
      </x:c>
      <x:c r="L61" s="291"/>
      <x:c r="M61" s="287" t="s">
        <x:v>220</x:v>
      </x:c>
      <x:c r="N61" s="316"/>
      <x:c r="O61" s="303" t="s">
        <x:v>218</x:v>
      </x:c>
      <x:c r="P61" s="319"/>
      <x:c r="Q61" s="208"/>
      <x:c r="R61" s="246">
        <x:f t="shared" si="30"/>
        <x:v>0</x:v>
      </x:c>
      <x:c r="S61" s="247">
        <x:f t="shared" si="31"/>
        <x:v>0</x:v>
      </x:c>
      <x:c r="T61" s="248">
        <x:f t="shared" si="32"/>
        <x:v>0</x:v>
      </x:c>
      <x:c r="U61" s="86"/>
      <x:c r="V61" s="86"/>
      <x:c r="W61" s="86"/>
      <x:c r="X61" s="86"/>
      <x:c r="Y61" s="86"/>
      <x:c r="Z61" s="86"/>
      <x:c r="AA61" s="86"/>
      <x:c r="AB61" s="86"/>
      <x:c r="AC61" s="86"/>
      <x:c r="AD61" s="86"/>
      <x:c r="AE61" s="86"/>
      <x:c r="AF61" s="86"/>
      <x:c r="AG61" s="86"/>
      <x:c r="AH61" s="86"/>
      <x:c r="AI61" s="86"/>
      <x:c r="AJ61" s="86"/>
      <x:c r="AK61" s="87"/>
      <x:c r="AL61" s="86"/>
      <x:c r="AN61" s="86"/>
    </x:row>
    <x:row r="62" spans="1:40">
      <x:c r="A62" s="716"/>
      <x:c r="B62" s="92"/>
      <x:c r="C62" s="93"/>
      <x:c r="D62" s="93">
        <x:v>1</x:v>
      </x:c>
      <x:c r="E62" s="752"/>
      <x:c r="F62" s="753"/>
      <x:c r="G62" s="289" t="s">
        <x:v>236</x:v>
      </x:c>
      <x:c r="H62" s="292"/>
      <x:c r="I62" s="290" t="s">
        <x:v>272</x:v>
      </x:c>
      <x:c r="J62" s="292"/>
      <x:c r="K62" s="290" t="s">
        <x:v>233</x:v>
      </x:c>
      <x:c r="L62" s="292"/>
      <x:c r="M62" s="290" t="s">
        <x:v>220</x:v>
      </x:c>
      <x:c r="N62" s="318"/>
      <x:c r="O62" s="315" t="s">
        <x:v>218</x:v>
      </x:c>
      <x:c r="P62" s="320"/>
      <x:c r="Q62" s="209"/>
      <x:c r="R62" s="246">
        <x:f t="shared" si="30"/>
        <x:v>0</x:v>
      </x:c>
      <x:c r="S62" s="247">
        <x:f t="shared" si="31"/>
        <x:v>0</x:v>
      </x:c>
      <x:c r="T62" s="248">
        <x:f t="shared" si="32"/>
        <x:v>0</x:v>
      </x:c>
      <x:c r="U62" s="86"/>
      <x:c r="V62" s="86"/>
      <x:c r="W62" s="86"/>
      <x:c r="X62" s="86"/>
      <x:c r="Y62" s="86"/>
      <x:c r="Z62" s="86"/>
      <x:c r="AA62" s="86"/>
      <x:c r="AB62" s="86"/>
      <x:c r="AC62" s="86"/>
      <x:c r="AD62" s="86"/>
      <x:c r="AE62" s="86"/>
      <x:c r="AF62" s="86"/>
      <x:c r="AG62" s="86"/>
      <x:c r="AH62" s="86"/>
      <x:c r="AI62" s="86"/>
      <x:c r="AJ62" s="86"/>
      <x:c r="AK62" s="87"/>
      <x:c r="AL62" s="86"/>
      <x:c r="AN62" s="86"/>
    </x:row>
    <x:row r="63" spans="1:40">
      <x:c r="A63" s="647" t="s">
        <x:v>210</x:v>
      </x:c>
      <x:c r="B63" s="89" t="s">
        <x:v>203</x:v>
      </x:c>
      <x:c r="C63" s="89" t="s">
        <x:v>358</x:v>
      </x:c>
      <x:c r="D63" s="89">
        <x:v>3</x:v>
      </x:c>
      <x:c r="E63" s="762">
        <x:v>0.013</x:v>
      </x:c>
      <x:c r="F63" s="763"/>
      <x:c r="G63" s="764">
        <x:v>0.010000000000000001</x:v>
      </x:c>
      <x:c r="H63" s="765"/>
      <x:c r="I63" s="764">
        <x:v>0.012</x:v>
      </x:c>
      <x:c r="J63" s="765"/>
      <x:c r="K63" s="766"/>
      <x:c r="L63" s="766"/>
      <x:c r="M63" s="766"/>
      <x:c r="N63" s="766"/>
      <x:c r="O63" s="259"/>
      <x:c r="P63" s="259"/>
      <x:c r="Q63" s="767" t="str">
        <x:f>O5</x:f>
        <x:v>KEH-KW-01</x:v>
      </x:c>
      <x:c r="R63" s="249">
        <x:f>MIN(E63:J63)</x:f>
        <x:v>0.010000000000000001</x:v>
      </x:c>
      <x:c r="S63" s="235">
        <x:f>MAX(E63:J63)</x:f>
        <x:v>0.013</x:v>
      </x:c>
      <x:c r="T63" s="236">
        <x:f>AVERAGE(E63:J63)</x:f>
        <x:v>0.011666666666666667</x:v>
      </x:c>
      <x:c r="U63" s="97"/>
      <x:c r="V63" s="97"/>
      <x:c r="W63" s="97"/>
      <x:c r="X63" s="97"/>
      <x:c r="Y63" s="97"/>
      <x:c r="Z63" s="97"/>
      <x:c r="AA63" s="97"/>
      <x:c r="AB63" s="97"/>
      <x:c r="AC63" s="97"/>
      <x:c r="AD63" s="97"/>
      <x:c r="AE63" s="97"/>
      <x:c r="AF63" s="97"/>
      <x:c r="AG63" s="97"/>
      <x:c r="AH63" s="97"/>
      <x:c r="AI63" s="97"/>
      <x:c r="AJ63" s="97"/>
      <x:c r="AK63" s="98"/>
      <x:c r="AL63" s="97"/>
      <x:c r="AM63" s="153"/>
      <x:c r="AN63" s="97"/>
    </x:row>
    <x:row r="64" spans="1:40">
      <x:c r="A64" s="648"/>
      <x:c r="B64" s="88"/>
      <x:c r="C64" s="88"/>
      <x:c r="D64" s="88">
        <x:v>3</x:v>
      </x:c>
      <x:c r="E64" s="764"/>
      <x:c r="F64" s="765"/>
      <x:c r="G64" s="764"/>
      <x:c r="H64" s="765"/>
      <x:c r="I64" s="764"/>
      <x:c r="J64" s="765"/>
      <x:c r="K64" s="766"/>
      <x:c r="L64" s="766"/>
      <x:c r="M64" s="766"/>
      <x:c r="N64" s="766"/>
      <x:c r="O64" s="259"/>
      <x:c r="P64" s="259"/>
      <x:c r="Q64" s="767"/>
      <x:c r="R64" s="212">
        <x:f>MIN(E64:J64)</x:f>
        <x:v>0</x:v>
      </x:c>
      <x:c r="S64" s="238">
        <x:f>MAX(E64:J64)</x:f>
        <x:v>0</x:v>
      </x:c>
      <x:c r="T64" s="250" t="e">
        <x:f>AVERAGE(E64:J64)</x:f>
        <x:v>#DIV/0!</x:v>
      </x:c>
      <x:c r="U64" s="97"/>
      <x:c r="V64" s="97"/>
      <x:c r="W64" s="97"/>
      <x:c r="X64" s="97"/>
      <x:c r="Y64" s="97"/>
      <x:c r="Z64" s="97"/>
      <x:c r="AA64" s="97"/>
      <x:c r="AB64" s="97"/>
      <x:c r="AC64" s="97"/>
      <x:c r="AD64" s="97"/>
      <x:c r="AE64" s="97"/>
      <x:c r="AF64" s="97"/>
      <x:c r="AG64" s="97"/>
      <x:c r="AH64" s="97"/>
      <x:c r="AI64" s="97"/>
      <x:c r="AJ64" s="97"/>
      <x:c r="AK64" s="98"/>
      <x:c r="AL64" s="97"/>
      <x:c r="AM64" s="153"/>
      <x:c r="AN64" s="97"/>
    </x:row>
    <x:row r="65" spans="1:40" ht="12.449999999999999" customHeight="1">
      <x:c r="A65" s="649"/>
      <x:c r="B65" s="90"/>
      <x:c r="C65" s="90"/>
      <x:c r="D65" s="90">
        <x:v>3</x:v>
      </x:c>
      <x:c r="E65" s="769"/>
      <x:c r="F65" s="770"/>
      <x:c r="G65" s="111"/>
      <x:c r="H65" s="112"/>
      <x:c r="I65" s="769"/>
      <x:c r="J65" s="770"/>
      <x:c r="K65" s="771"/>
      <x:c r="L65" s="771"/>
      <x:c r="M65" s="771"/>
      <x:c r="N65" s="771"/>
      <x:c r="O65" s="258"/>
      <x:c r="P65" s="258"/>
      <x:c r="Q65" s="768"/>
      <x:c r="R65" s="251">
        <x:f>MIN(E65:J65)</x:f>
        <x:v>0</x:v>
      </x:c>
      <x:c r="S65" s="252">
        <x:f>MAX(E65:J65)</x:f>
        <x:v>0</x:v>
      </x:c>
      <x:c r="T65" s="253" t="e">
        <x:f>AVERAGE(E65:J65)</x:f>
        <x:v>#DIV/0!</x:v>
      </x:c>
      <x:c r="U65" s="97"/>
      <x:c r="V65" s="97"/>
      <x:c r="W65" s="97"/>
      <x:c r="X65" s="97"/>
      <x:c r="Y65" s="97"/>
      <x:c r="Z65" s="97"/>
      <x:c r="AA65" s="97"/>
      <x:c r="AB65" s="97"/>
      <x:c r="AC65" s="97"/>
      <x:c r="AD65" s="97"/>
      <x:c r="AE65" s="97"/>
      <x:c r="AF65" s="97"/>
      <x:c r="AG65" s="97"/>
      <x:c r="AH65" s="97"/>
      <x:c r="AI65" s="97"/>
      <x:c r="AJ65" s="97"/>
      <x:c r="AK65" s="98"/>
      <x:c r="AL65" s="97"/>
      <x:c r="AM65" s="153"/>
      <x:c r="AN65" s="97"/>
    </x:row>
    <x:row r="66" spans="1:40">
      <x:c r="A66" s="210" t="s">
        <x:v>263</x:v>
      </x:c>
      <x:c r="B66" s="142" t="str">
        <x:f>B53</x:f>
        <x:v>보건실</x:v>
      </x:c>
      <x:c r="C66" s="142" t="str">
        <x:f>C53</x:f>
        <x:v>13:49 ~ 13:59</x:v>
      </x:c>
      <x:c r="D66" s="142">
        <x:v>1</x:v>
      </x:c>
      <x:c r="E66" s="772" t="s">
        <x:v>113</x:v>
      </x:c>
      <x:c r="F66" s="773"/>
      <x:c r="G66" s="766"/>
      <x:c r="H66" s="766"/>
      <x:c r="I66" s="766"/>
      <x:c r="J66" s="766"/>
      <x:c r="K66" s="766"/>
      <x:c r="L66" s="766"/>
      <x:c r="M66" s="766"/>
      <x:c r="N66" s="766"/>
      <x:c r="O66" s="259"/>
      <x:c r="P66" s="259"/>
      <x:c r="Q66" s="113" t="s">
        <x:v>116</x:v>
      </x:c>
      <x:c r="R66" s="466" t="str">
        <x:f>E66</x:f>
        <x:v>0-20미만</x:v>
      </x:c>
      <x:c r="S66" s="467" t="str">
        <x:f>E66</x:f>
        <x:v>0-20미만</x:v>
      </x:c>
      <x:c r="T66" s="468" t="str">
        <x:f>E66</x:f>
        <x:v>0-20미만</x:v>
      </x:c>
      <x:c r="U66" s="86"/>
      <x:c r="V66" s="86"/>
      <x:c r="W66" s="86"/>
      <x:c r="X66" s="86"/>
      <x:c r="Y66" s="86"/>
      <x:c r="Z66" s="86"/>
      <x:c r="AA66" s="86"/>
      <x:c r="AB66" s="86"/>
      <x:c r="AC66" s="86"/>
      <x:c r="AD66" s="86"/>
      <x:c r="AE66" s="86"/>
      <x:c r="AF66" s="86"/>
      <x:c r="AG66" s="86"/>
      <x:c r="AH66" s="86"/>
      <x:c r="AI66" s="86"/>
      <x:c r="AJ66" s="86"/>
      <x:c r="AK66" s="87"/>
      <x:c r="AL66" s="86"/>
      <x:c r="AN66" s="86"/>
    </x:row>
    <x:row r="67" spans="1:20">
      <x:c r="A67" s="774" t="s">
        <x:v>410</x:v>
      </x:c>
      <x:c r="B67" s="92" t="s">
        <x:v>181</x:v>
      </x:c>
      <x:c r="C67" s="92" t="s">
        <x:v>413</x:v>
      </x:c>
      <x:c r="D67" s="89">
        <x:v>3</x:v>
      </x:c>
      <x:c r="E67" s="776">
        <x:v>27</x:v>
      </x:c>
      <x:c r="F67" s="776"/>
      <x:c r="G67" s="776">
        <x:v>32</x:v>
      </x:c>
      <x:c r="H67" s="776"/>
      <x:c r="I67" s="776">
        <x:v>33</x:v>
      </x:c>
      <x:c r="J67" s="776"/>
      <x:c r="K67" s="777"/>
      <x:c r="L67" s="777"/>
      <x:c r="M67" s="777"/>
      <x:c r="N67" s="777"/>
      <x:c r="O67" s="260"/>
      <x:c r="P67" s="260"/>
      <x:c r="Q67" s="462" t="str">
        <x:f>O5</x:f>
        <x:v>KEH-KW-01</x:v>
      </x:c>
      <x:c r="R67" s="471">
        <x:f>MIN(E67:J67)</x:f>
        <x:v>27</x:v>
      </x:c>
      <x:c r="S67" s="156">
        <x:f>MAX(E67:J67)</x:f>
        <x:v>33</x:v>
      </x:c>
      <x:c r="T67" s="171">
        <x:f>AVERAGE(E67:J67)</x:f>
        <x:v>30.666666666666668</x:v>
      </x:c>
    </x:row>
    <x:row r="68" spans="1:20">
      <x:c r="A68" s="774"/>
      <x:c r="B68" s="88" t="s">
        <x:v>139</x:v>
      </x:c>
      <x:c r="C68" s="88" t="s">
        <x:v>414</x:v>
      </x:c>
      <x:c r="D68" s="88">
        <x:v>3</x:v>
      </x:c>
      <x:c r="E68" s="778">
        <x:v>45</x:v>
      </x:c>
      <x:c r="F68" s="779"/>
      <x:c r="G68" s="778">
        <x:v>44</x:v>
      </x:c>
      <x:c r="H68" s="779"/>
      <x:c r="I68" s="778">
        <x:v>40</x:v>
      </x:c>
      <x:c r="J68" s="779"/>
      <x:c r="K68" s="780"/>
      <x:c r="L68" s="780"/>
      <x:c r="M68" s="780"/>
      <x:c r="N68" s="780"/>
      <x:c r="O68" s="196"/>
      <x:c r="P68" s="196"/>
      <x:c r="Q68" s="463"/>
      <x:c r="R68" s="472">
        <x:f>MIN(E68:J68)</x:f>
        <x:v>40</x:v>
      </x:c>
      <x:c r="S68" s="172">
        <x:f>MAX(E68:J68)</x:f>
        <x:v>45</x:v>
      </x:c>
      <x:c r="T68" s="173">
        <x:f>AVERAGE(E68:J68)</x:f>
        <x:v>43</x:v>
      </x:c>
    </x:row>
    <x:row r="69" spans="1:20" ht="26.399999999999999">
      <x:c r="A69" s="774"/>
      <x:c r="B69" s="88" t="s">
        <x:v>411</x:v>
      </x:c>
      <x:c r="C69" s="88" t="s">
        <x:v>368</x:v>
      </x:c>
      <x:c r="D69" s="88">
        <x:v>3</x:v>
      </x:c>
      <x:c r="E69" s="778">
        <x:v>32</x:v>
      </x:c>
      <x:c r="F69" s="779"/>
      <x:c r="G69" s="778">
        <x:v>34</x:v>
      </x:c>
      <x:c r="H69" s="779"/>
      <x:c r="I69" s="778">
        <x:v>36</x:v>
      </x:c>
      <x:c r="J69" s="779"/>
      <x:c r="K69" s="197"/>
      <x:c r="L69" s="197"/>
      <x:c r="M69" s="197"/>
      <x:c r="N69" s="197"/>
      <x:c r="O69" s="196"/>
      <x:c r="P69" s="196"/>
      <x:c r="Q69" s="463"/>
      <x:c r="R69" s="472">
        <x:f>MIN(E69:J69)</x:f>
        <x:v>32</x:v>
      </x:c>
      <x:c r="S69" s="172">
        <x:f>MAX(E69:J69)</x:f>
        <x:v>36</x:v>
      </x:c>
      <x:c r="T69" s="173">
        <x:f>AVERAGE(E69:J69)</x:f>
        <x:v>34</x:v>
      </x:c>
    </x:row>
    <x:row r="70" spans="1:21">
      <x:c r="A70" s="774"/>
      <x:c r="B70" s="287"/>
      <x:c r="C70" s="287"/>
      <x:c r="D70" s="287">
        <x:v>3</x:v>
      </x:c>
      <x:c r="E70" s="781"/>
      <x:c r="F70" s="782"/>
      <x:c r="G70" s="781"/>
      <x:c r="H70" s="782"/>
      <x:c r="I70" s="781"/>
      <x:c r="J70" s="782"/>
      <x:c r="K70" s="783"/>
      <x:c r="L70" s="783"/>
      <x:c r="M70" s="783"/>
      <x:c r="N70" s="783"/>
      <x:c r="O70" s="425"/>
      <x:c r="P70" s="425"/>
      <x:c r="Q70" s="464"/>
      <x:c r="R70" s="473">
        <x:f>MIN(E70:J70)</x:f>
        <x:v>0</x:v>
      </x:c>
      <x:c r="S70" s="427">
        <x:f>MAX(E70:J70)</x:f>
        <x:v>0</x:v>
      </x:c>
      <x:c r="T70" s="428" t="e">
        <x:f>AVERAGE(E70:J70)</x:f>
        <x:v>#DIV/0!</x:v>
      </x:c>
      <x:c r="U70" s="375" t="s">
        <x:v>76</x:v>
      </x:c>
    </x:row>
    <x:row r="71" spans="1:21" ht="13.800000000000001">
      <x:c r="A71" s="775"/>
      <x:c r="B71" s="397" t="str">
        <x:f>B23</x:f>
        <x:v>급식시설</x:v>
      </x:c>
      <x:c r="C71" s="397" t="str">
        <x:f>C23</x:f>
        <x:v>14:46 ~ 14:56</x:v>
      </x:c>
      <x:c r="D71" s="403">
        <x:v>3</x:v>
      </x:c>
      <x:c r="E71" s="784">
        <x:v>63</x:v>
      </x:c>
      <x:c r="F71" s="785"/>
      <x:c r="G71" s="784">
        <x:v>59</x:v>
      </x:c>
      <x:c r="H71" s="785"/>
      <x:c r="I71" s="784">
        <x:v>60</x:v>
      </x:c>
      <x:c r="J71" s="785"/>
      <x:c r="K71" s="430"/>
      <x:c r="L71" s="430"/>
      <x:c r="M71" s="430"/>
      <x:c r="N71" s="430"/>
      <x:c r="O71" s="431"/>
      <x:c r="P71" s="431"/>
      <x:c r="Q71" s="465"/>
      <x:c r="R71" s="474">
        <x:f>MIN(E71:J71)</x:f>
        <x:v>59</x:v>
      </x:c>
      <x:c r="S71" s="432">
        <x:f>MAX(E71:J71)</x:f>
        <x:v>63</x:v>
      </x:c>
      <x:c r="T71" s="411">
        <x:f>AVERAGE(E71:J71)</x:f>
        <x:v>60.666666666666664</x:v>
      </x:c>
      <x:c r="U71" s="396" t="s">
        <x:v>78</x:v>
      </x:c>
    </x:row>
    <x:row r="72" spans="1:20" hidden="1">
      <x:c r="A72" s="786" t="s">
        <x:v>423</x:v>
      </x:c>
      <x:c r="B72" s="89"/>
      <x:c r="C72" s="89">
        <x:v>23</x:v>
      </x:c>
      <x:c r="D72" s="89">
        <x:v>2</x:v>
      </x:c>
      <x:c r="E72" s="789"/>
      <x:c r="F72" s="789"/>
      <x:c r="G72" s="789"/>
      <x:c r="H72" s="789"/>
      <x:c r="I72" s="790"/>
      <x:c r="J72" s="790"/>
      <x:c r="K72" s="791"/>
      <x:c r="L72" s="791"/>
      <x:c r="M72" s="791"/>
      <x:c r="N72" s="791"/>
      <x:c r="O72" s="257"/>
      <x:c r="P72" s="196"/>
      <x:c r="Q72" s="792"/>
      <x:c r="R72" s="469">
        <x:f>MIN(E72:H72)</x:f>
        <x:v>0</x:v>
      </x:c>
      <x:c r="S72" s="336">
        <x:f t="shared" ref="S72:S75" si="33">MAX(E72:L72)</x:f>
        <x:v>0</x:v>
      </x:c>
      <x:c r="T72" s="470" t="e">
        <x:f t="shared" ref="T72:T75" si="34">AVERAGE(E72:L72)</x:f>
        <x:v>#DIV/0!</x:v>
      </x:c>
    </x:row>
    <x:row r="73" spans="1:20" hidden="1">
      <x:c r="A73" s="787"/>
      <x:c r="B73" s="88"/>
      <x:c r="C73" s="88">
        <x:v>23</x:v>
      </x:c>
      <x:c r="D73" s="88">
        <x:v>2</x:v>
      </x:c>
      <x:c r="E73" s="778"/>
      <x:c r="F73" s="779"/>
      <x:c r="G73" s="778"/>
      <x:c r="H73" s="779"/>
      <x:c r="I73" s="794"/>
      <x:c r="J73" s="795"/>
      <x:c r="K73" s="796"/>
      <x:c r="L73" s="797"/>
      <x:c r="M73" s="796"/>
      <x:c r="N73" s="797"/>
      <x:c r="O73" s="162"/>
      <x:c r="P73" s="196"/>
      <x:c r="Q73" s="792"/>
      <x:c r="R73" s="161">
        <x:f>MIN(E73:L73)</x:f>
        <x:v>0</x:v>
      </x:c>
      <x:c r="S73" s="172">
        <x:f t="shared" si="33"/>
        <x:v>0</x:v>
      </x:c>
      <x:c r="T73" s="254" t="e">
        <x:f t="shared" si="34"/>
        <x:v>#DIV/0!</x:v>
      </x:c>
    </x:row>
    <x:row r="74" spans="1:20" hidden="1">
      <x:c r="A74" s="787"/>
      <x:c r="B74" s="88"/>
      <x:c r="C74" s="88">
        <x:v>23</x:v>
      </x:c>
      <x:c r="D74" s="88">
        <x:v>2</x:v>
      </x:c>
      <x:c r="E74" s="158"/>
      <x:c r="F74" s="159"/>
      <x:c r="G74" s="158"/>
      <x:c r="H74" s="159"/>
      <x:c r="I74" s="166"/>
      <x:c r="J74" s="167"/>
      <x:c r="K74" s="160"/>
      <x:c r="L74" s="161"/>
      <x:c r="M74" s="160"/>
      <x:c r="N74" s="161"/>
      <x:c r="O74" s="162"/>
      <x:c r="P74" s="196"/>
      <x:c r="Q74" s="792"/>
      <x:c r="R74" s="161">
        <x:f>MIN(E74:L74)</x:f>
        <x:v>0</x:v>
      </x:c>
      <x:c r="S74" s="172">
        <x:f t="shared" si="33"/>
        <x:v>0</x:v>
      </x:c>
      <x:c r="T74" s="254" t="e">
        <x:f t="shared" si="34"/>
        <x:v>#DIV/0!</x:v>
      </x:c>
    </x:row>
    <x:row r="75" spans="1:20" hidden="1">
      <x:c r="A75" s="788"/>
      <x:c r="B75" s="93"/>
      <x:c r="C75" s="93">
        <x:v>23</x:v>
      </x:c>
      <x:c r="D75" s="90">
        <x:v>2</x:v>
      </x:c>
      <x:c r="E75" s="798"/>
      <x:c r="F75" s="799"/>
      <x:c r="G75" s="798"/>
      <x:c r="H75" s="799"/>
      <x:c r="I75" s="800"/>
      <x:c r="J75" s="801"/>
      <x:c r="K75" s="802"/>
      <x:c r="L75" s="803"/>
      <x:c r="M75" s="804"/>
      <x:c r="N75" s="805"/>
      <x:c r="O75" s="174"/>
      <x:c r="P75" s="196"/>
      <x:c r="Q75" s="793"/>
      <x:c r="R75" s="169">
        <x:f>MIN(E75:L75)</x:f>
        <x:v>0</x:v>
      </x:c>
      <x:c r="S75" s="186">
        <x:f t="shared" si="33"/>
        <x:v>0</x:v>
      </x:c>
      <x:c r="T75" s="255" t="e">
        <x:f t="shared" si="34"/>
        <x:v>#DIV/0!</x:v>
      </x:c>
    </x:row>
    <x:row r="76" spans="1:20">
      <x:c r="A76" s="806" t="s">
        <x:v>477</x:v>
      </x:c>
      <x:c r="B76" s="807" t="str">
        <x:f>B67</x:f>
        <x:v>5층 1-9반</x:v>
      </x:c>
      <x:c r="C76" s="807" t="str">
        <x:f>C67</x:f>
        <x:v>13:03 ~ 13:13</x:v>
      </x:c>
      <x:c r="D76" s="808">
        <x:v>9</x:v>
      </x:c>
      <x:c r="E76" s="776">
        <x:v>368</x:v>
      </x:c>
      <x:c r="F76" s="776"/>
      <x:c r="G76" s="776">
        <x:v>396</x:v>
      </x:c>
      <x:c r="H76" s="776"/>
      <x:c r="I76" s="776">
        <x:v>471</x:v>
      </x:c>
      <x:c r="J76" s="776"/>
      <x:c r="K76" s="776">
        <x:v>425</x:v>
      </x:c>
      <x:c r="L76" s="776"/>
      <x:c r="M76" s="776">
        <x:v>481</x:v>
      </x:c>
      <x:c r="N76" s="776"/>
      <x:c r="O76" s="260"/>
      <x:c r="P76" s="260"/>
      <x:c r="Q76" s="422" t="s">
        <x:v>506</x:v>
      </x:c>
      <x:c r="R76" s="811">
        <x:f>MIN(E76:N76,E77:L77)</x:f>
        <x:v>334</x:v>
      </x:c>
      <x:c r="S76" s="808">
        <x:f>MAX(E76:N76,E77:L77)</x:f>
        <x:v>481</x:v>
      </x:c>
      <x:c r="T76" s="812">
        <x:f>AVERAGE(E76:N76,E77:L77)</x:f>
        <x:v>405.22222222222223</x:v>
      </x:c>
    </x:row>
    <x:row r="77" spans="1:20">
      <x:c r="A77" s="774"/>
      <x:c r="B77" s="807"/>
      <x:c r="C77" s="807"/>
      <x:c r="D77" s="807"/>
      <x:c r="E77" s="810">
        <x:v>334</x:v>
      </x:c>
      <x:c r="F77" s="810"/>
      <x:c r="G77" s="810">
        <x:v>367</x:v>
      </x:c>
      <x:c r="H77" s="810"/>
      <x:c r="I77" s="810">
        <x:v>449</x:v>
      </x:c>
      <x:c r="J77" s="810"/>
      <x:c r="K77" s="810">
        <x:v>356</x:v>
      </x:c>
      <x:c r="L77" s="778"/>
      <x:c r="M77" s="780"/>
      <x:c r="N77" s="780"/>
      <x:c r="O77" s="196"/>
      <x:c r="P77" s="196"/>
      <x:c r="Q77" s="423"/>
      <x:c r="R77" s="797"/>
      <x:c r="S77" s="807"/>
      <x:c r="T77" s="813"/>
    </x:row>
    <x:row r="78" spans="1:20">
      <x:c r="A78" s="774"/>
      <x:c r="B78" s="807" t="str">
        <x:f>B68</x:f>
        <x:v>4층 1-7반</x:v>
      </x:c>
      <x:c r="C78" s="807" t="str">
        <x:f>C68</x:f>
        <x:v>13:15 ~ 13:25</x:v>
      </x:c>
      <x:c r="D78" s="807">
        <x:v>9</x:v>
      </x:c>
      <x:c r="E78" s="810">
        <x:v>530</x:v>
      </x:c>
      <x:c r="F78" s="810"/>
      <x:c r="G78" s="810">
        <x:v>486</x:v>
      </x:c>
      <x:c r="H78" s="810"/>
      <x:c r="I78" s="810">
        <x:v>427</x:v>
      </x:c>
      <x:c r="J78" s="810"/>
      <x:c r="K78" s="810">
        <x:v>568</x:v>
      </x:c>
      <x:c r="L78" s="810"/>
      <x:c r="M78" s="810">
        <x:v>537</x:v>
      </x:c>
      <x:c r="N78" s="810"/>
      <x:c r="O78" s="196"/>
      <x:c r="P78" s="196"/>
      <x:c r="Q78" s="423"/>
      <x:c r="R78" s="797">
        <x:f>MIN(E78:N78,E79:L79)</x:f>
        <x:v>427</x:v>
      </x:c>
      <x:c r="S78" s="807">
        <x:f>MAX(E78:N78,E79:L79)</x:f>
        <x:v>568</x:v>
      </x:c>
      <x:c r="T78" s="813">
        <x:f>AVERAGE(E78:N78,E79:L79)</x:f>
        <x:v>504.55555555555554</x:v>
      </x:c>
    </x:row>
    <x:row r="79" spans="1:20">
      <x:c r="A79" s="774"/>
      <x:c r="B79" s="807"/>
      <x:c r="C79" s="807"/>
      <x:c r="D79" s="807"/>
      <x:c r="E79" s="810">
        <x:v>463</x:v>
      </x:c>
      <x:c r="F79" s="810"/>
      <x:c r="G79" s="810">
        <x:v>559</x:v>
      </x:c>
      <x:c r="H79" s="810"/>
      <x:c r="I79" s="810">
        <x:v>531</x:v>
      </x:c>
      <x:c r="J79" s="810"/>
      <x:c r="K79" s="810">
        <x:v>440</x:v>
      </x:c>
      <x:c r="L79" s="778"/>
      <x:c r="M79" s="780"/>
      <x:c r="N79" s="780"/>
      <x:c r="O79" s="196"/>
      <x:c r="P79" s="196"/>
      <x:c r="Q79" s="423"/>
      <x:c r="R79" s="797"/>
      <x:c r="S79" s="807"/>
      <x:c r="T79" s="813"/>
    </x:row>
    <x:row r="80" spans="1:20">
      <x:c r="A80" s="774"/>
      <x:c r="B80" s="807" t="str">
        <x:f>B69</x:f>
        <x:v>2층 (도제)세무실무실습실</x:v>
      </x:c>
      <x:c r="C80" s="807" t="str">
        <x:f>C69</x:f>
        <x:v>13:26 ~ 13:36</x:v>
      </x:c>
      <x:c r="D80" s="807">
        <x:v>9</x:v>
      </x:c>
      <x:c r="E80" s="810">
        <x:v>893</x:v>
      </x:c>
      <x:c r="F80" s="810"/>
      <x:c r="G80" s="810">
        <x:v>883</x:v>
      </x:c>
      <x:c r="H80" s="810"/>
      <x:c r="I80" s="810">
        <x:v>612</x:v>
      </x:c>
      <x:c r="J80" s="810"/>
      <x:c r="K80" s="810">
        <x:v>761</x:v>
      </x:c>
      <x:c r="L80" s="810"/>
      <x:c r="M80" s="810">
        <x:v>772</x:v>
      </x:c>
      <x:c r="N80" s="810"/>
      <x:c r="O80" s="196"/>
      <x:c r="P80" s="196"/>
      <x:c r="Q80" s="423"/>
      <x:c r="R80" s="797">
        <x:f>MIN(E80:N80,E81:L81)</x:f>
        <x:v>612</x:v>
      </x:c>
      <x:c r="S80" s="807">
        <x:f>MAX(E80:N80,E81:L81)</x:f>
        <x:v>893</x:v>
      </x:c>
      <x:c r="T80" s="813">
        <x:f>AVERAGE(E80:N80,E81:L81)</x:f>
        <x:v>745.33333333333337</x:v>
      </x:c>
    </x:row>
    <x:row r="81" spans="1:20">
      <x:c r="A81" s="774"/>
      <x:c r="B81" s="807"/>
      <x:c r="C81" s="807"/>
      <x:c r="D81" s="809"/>
      <x:c r="E81" s="814">
        <x:v>630</x:v>
      </x:c>
      <x:c r="F81" s="814"/>
      <x:c r="G81" s="814">
        <x:v>732</x:v>
      </x:c>
      <x:c r="H81" s="814"/>
      <x:c r="I81" s="814">
        <x:v>740</x:v>
      </x:c>
      <x:c r="J81" s="814"/>
      <x:c r="K81" s="814">
        <x:v>685</x:v>
      </x:c>
      <x:c r="L81" s="815"/>
      <x:c r="M81" s="780"/>
      <x:c r="N81" s="780"/>
      <x:c r="O81" s="196"/>
      <x:c r="P81" s="196"/>
      <x:c r="Q81" s="423"/>
      <x:c r="R81" s="797"/>
      <x:c r="S81" s="807"/>
      <x:c r="T81" s="813"/>
    </x:row>
    <x:row r="82" spans="1:21">
      <x:c r="A82" s="774"/>
      <x:c r="B82" s="816">
        <x:f>B70</x:f>
        <x:v>0</x:v>
      </x:c>
      <x:c r="C82" s="816">
        <x:f>C70</x:f>
        <x:v>0</x:v>
      </x:c>
      <x:c r="D82" s="818">
        <x:v>9</x:v>
      </x:c>
      <x:c r="E82" s="816"/>
      <x:c r="F82" s="816"/>
      <x:c r="G82" s="816"/>
      <x:c r="H82" s="816"/>
      <x:c r="I82" s="816"/>
      <x:c r="J82" s="816"/>
      <x:c r="K82" s="816"/>
      <x:c r="L82" s="816"/>
      <x:c r="M82" s="816"/>
      <x:c r="N82" s="816"/>
      <x:c r="O82" s="425"/>
      <x:c r="P82" s="441"/>
      <x:c r="Q82" s="426"/>
      <x:c r="R82" s="782">
        <x:f>MIN(E82:N82,E83:L83)</x:f>
        <x:v>0</x:v>
      </x:c>
      <x:c r="S82" s="816">
        <x:f>MAX(E82:N82,E83:L83)</x:f>
        <x:v>0</x:v>
      </x:c>
      <x:c r="T82" s="821" t="e">
        <x:f>AVERAGE(E82:N82,E83:L83)</x:f>
        <x:v>#DIV/0!</x:v>
      </x:c>
      <x:c r="U82" s="823" t="s">
        <x:v>76</x:v>
      </x:c>
    </x:row>
    <x:row r="83" spans="1:21">
      <x:c r="A83" s="774"/>
      <x:c r="B83" s="817"/>
      <x:c r="C83" s="817"/>
      <x:c r="D83" s="819"/>
      <x:c r="E83" s="817"/>
      <x:c r="F83" s="817"/>
      <x:c r="G83" s="817"/>
      <x:c r="H83" s="817"/>
      <x:c r="I83" s="817"/>
      <x:c r="J83" s="817"/>
      <x:c r="K83" s="817"/>
      <x:c r="L83" s="824"/>
      <x:c r="M83" s="475"/>
      <x:c r="N83" s="475"/>
      <x:c r="O83" s="454"/>
      <x:c r="P83" s="476"/>
      <x:c r="Q83" s="426"/>
      <x:c r="R83" s="820"/>
      <x:c r="S83" s="818"/>
      <x:c r="T83" s="822"/>
      <x:c r="U83" s="823" t="s">
        <x:v>76</x:v>
      </x:c>
    </x:row>
    <x:row r="84" spans="1:20">
      <x:c r="A84" s="806" t="s">
        <x:v>488</x:v>
      </x:c>
      <x:c r="B84" s="791" t="str">
        <x:f>B67</x:f>
        <x:v>5층 1-9반</x:v>
      </x:c>
      <x:c r="C84" s="791" t="str">
        <x:f>C67</x:f>
        <x:v>13:03 ~ 13:13</x:v>
      </x:c>
      <x:c r="D84" s="791">
        <x:v>9</x:v>
      </x:c>
      <x:c r="E84" s="789">
        <x:v>926</x:v>
      </x:c>
      <x:c r="F84" s="789"/>
      <x:c r="G84" s="789">
        <x:v>784</x:v>
      </x:c>
      <x:c r="H84" s="789"/>
      <x:c r="I84" s="789">
        <x:v>732</x:v>
      </x:c>
      <x:c r="J84" s="789"/>
      <x:c r="K84" s="789">
        <x:v>953</x:v>
      </x:c>
      <x:c r="L84" s="789"/>
      <x:c r="M84" s="789">
        <x:v>826</x:v>
      </x:c>
      <x:c r="N84" s="789"/>
      <x:c r="O84" s="196"/>
      <x:c r="P84" s="196"/>
      <x:c r="Q84" s="422" t="str">
        <x:f>Q76</x:f>
        <x:v>KEH-TM-01</x:v>
      </x:c>
      <x:c r="R84" s="811">
        <x:f>MIN(E84:N84,E85:L85)</x:f>
        <x:v>732</x:v>
      </x:c>
      <x:c r="S84" s="808">
        <x:f>MAX(E84:N84,E85:L85)</x:f>
        <x:v>953</x:v>
      </x:c>
      <x:c r="T84" s="812">
        <x:f>AVERAGE(E84:N84,E85:L85)</x:f>
        <x:v>839.77777777777783</x:v>
      </x:c>
    </x:row>
    <x:row r="85" spans="1:20">
      <x:c r="A85" s="774"/>
      <x:c r="B85" s="807"/>
      <x:c r="C85" s="807"/>
      <x:c r="D85" s="807"/>
      <x:c r="E85" s="810">
        <x:v>799</x:v>
      </x:c>
      <x:c r="F85" s="810"/>
      <x:c r="G85" s="810">
        <x:v>907</x:v>
      </x:c>
      <x:c r="H85" s="810"/>
      <x:c r="I85" s="810">
        <x:v>816</x:v>
      </x:c>
      <x:c r="J85" s="810"/>
      <x:c r="K85" s="810">
        <x:v>815</x:v>
      </x:c>
      <x:c r="L85" s="810"/>
      <x:c r="M85" s="780"/>
      <x:c r="N85" s="780"/>
      <x:c r="O85" s="196"/>
      <x:c r="P85" s="196"/>
      <x:c r="Q85" s="423"/>
      <x:c r="R85" s="797"/>
      <x:c r="S85" s="807"/>
      <x:c r="T85" s="813"/>
    </x:row>
    <x:row r="86" spans="1:20">
      <x:c r="A86" s="774"/>
      <x:c r="B86" s="791" t="str">
        <x:f>B68</x:f>
        <x:v>4층 1-7반</x:v>
      </x:c>
      <x:c r="C86" s="791" t="str">
        <x:f>C68</x:f>
        <x:v>13:15 ~ 13:25</x:v>
      </x:c>
      <x:c r="D86" s="807">
        <x:v>9</x:v>
      </x:c>
      <x:c r="E86" s="810">
        <x:v>862</x:v>
      </x:c>
      <x:c r="F86" s="810"/>
      <x:c r="G86" s="810">
        <x:v>816</x:v>
      </x:c>
      <x:c r="H86" s="810"/>
      <x:c r="I86" s="810">
        <x:v>725</x:v>
      </x:c>
      <x:c r="J86" s="810"/>
      <x:c r="K86" s="810">
        <x:v>896</x:v>
      </x:c>
      <x:c r="L86" s="810"/>
      <x:c r="M86" s="810">
        <x:v>689</x:v>
      </x:c>
      <x:c r="N86" s="810"/>
      <x:c r="O86" s="196"/>
      <x:c r="P86" s="196"/>
      <x:c r="Q86" s="423"/>
      <x:c r="R86" s="797">
        <x:f>MIN(E86:N86,E87:L87)</x:f>
        <x:v>689</x:v>
      </x:c>
      <x:c r="S86" s="807">
        <x:f>MAX(E86:N86,E87:L87)</x:f>
        <x:v>896</x:v>
      </x:c>
      <x:c r="T86" s="813">
        <x:f>AVERAGE(E86:N86,E87:L87)</x:f>
        <x:v>773.55555555555554</x:v>
      </x:c>
    </x:row>
    <x:row r="87" spans="1:20">
      <x:c r="A87" s="774"/>
      <x:c r="B87" s="807"/>
      <x:c r="C87" s="807"/>
      <x:c r="D87" s="807"/>
      <x:c r="E87" s="810">
        <x:v>770</x:v>
      </x:c>
      <x:c r="F87" s="810"/>
      <x:c r="G87" s="810">
        <x:v>725</x:v>
      </x:c>
      <x:c r="H87" s="810"/>
      <x:c r="I87" s="810">
        <x:v>737</x:v>
      </x:c>
      <x:c r="J87" s="810"/>
      <x:c r="K87" s="810">
        <x:v>742</x:v>
      </x:c>
      <x:c r="L87" s="810"/>
      <x:c r="M87" s="780"/>
      <x:c r="N87" s="780"/>
      <x:c r="O87" s="196"/>
      <x:c r="P87" s="196"/>
      <x:c r="Q87" s="423"/>
      <x:c r="R87" s="797"/>
      <x:c r="S87" s="807"/>
      <x:c r="T87" s="813"/>
    </x:row>
    <x:row r="88" spans="1:20">
      <x:c r="A88" s="774"/>
      <x:c r="B88" s="791" t="str">
        <x:f>B69</x:f>
        <x:v>2층 (도제)세무실무실습실</x:v>
      </x:c>
      <x:c r="C88" s="791" t="str">
        <x:f>C69</x:f>
        <x:v>13:26 ~ 13:36</x:v>
      </x:c>
      <x:c r="D88" s="807">
        <x:v>9</x:v>
      </x:c>
      <x:c r="E88" s="810">
        <x:v>642</x:v>
      </x:c>
      <x:c r="F88" s="810"/>
      <x:c r="G88" s="810">
        <x:v>872</x:v>
      </x:c>
      <x:c r="H88" s="810"/>
      <x:c r="I88" s="810">
        <x:v>695</x:v>
      </x:c>
      <x:c r="J88" s="810"/>
      <x:c r="K88" s="810">
        <x:v>667</x:v>
      </x:c>
      <x:c r="L88" s="810"/>
      <x:c r="M88" s="810">
        <x:v>710</x:v>
      </x:c>
      <x:c r="N88" s="810"/>
      <x:c r="O88" s="196"/>
      <x:c r="P88" s="196"/>
      <x:c r="Q88" s="423"/>
      <x:c r="R88" s="797">
        <x:f>MIN(E88:N88,E89:L89)</x:f>
        <x:v>642</x:v>
      </x:c>
      <x:c r="S88" s="807">
        <x:f>MAX(E88:N88,E89:L89)</x:f>
        <x:v>872</x:v>
      </x:c>
      <x:c r="T88" s="813">
        <x:f>AVERAGE(E88:N88,E89:L89)</x:f>
        <x:v>720.11111111111109</x:v>
      </x:c>
    </x:row>
    <x:row r="89" spans="1:20">
      <x:c r="A89" s="774"/>
      <x:c r="B89" s="807"/>
      <x:c r="C89" s="807"/>
      <x:c r="D89" s="807"/>
      <x:c r="E89" s="810">
        <x:v>725</x:v>
      </x:c>
      <x:c r="F89" s="810"/>
      <x:c r="G89" s="810">
        <x:v>739</x:v>
      </x:c>
      <x:c r="H89" s="810"/>
      <x:c r="I89" s="810">
        <x:v>695</x:v>
      </x:c>
      <x:c r="J89" s="810"/>
      <x:c r="K89" s="810">
        <x:v>736</x:v>
      </x:c>
      <x:c r="L89" s="810"/>
      <x:c r="M89" s="780"/>
      <x:c r="N89" s="780"/>
      <x:c r="O89" s="196"/>
      <x:c r="P89" s="196"/>
      <x:c r="Q89" s="423"/>
      <x:c r="R89" s="797"/>
      <x:c r="S89" s="807"/>
      <x:c r="T89" s="813"/>
    </x:row>
    <x:row r="90" spans="1:21">
      <x:c r="A90" s="774"/>
      <x:c r="B90" s="818">
        <x:f>B70</x:f>
        <x:v>0</x:v>
      </x:c>
      <x:c r="C90" s="818">
        <x:f>C70</x:f>
        <x:v>0</x:v>
      </x:c>
      <x:c r="D90" s="818">
        <x:f>D82</x:f>
        <x:v>9</x:v>
      </x:c>
      <x:c r="E90" s="816"/>
      <x:c r="F90" s="816"/>
      <x:c r="G90" s="816"/>
      <x:c r="H90" s="816"/>
      <x:c r="I90" s="816"/>
      <x:c r="J90" s="816"/>
      <x:c r="K90" s="816"/>
      <x:c r="L90" s="816"/>
      <x:c r="M90" s="816"/>
      <x:c r="N90" s="816"/>
      <x:c r="O90" s="436"/>
      <x:c r="P90" s="437"/>
      <x:c r="Q90" s="426"/>
      <x:c r="R90" s="782">
        <x:f>MIN(E90:N90,E91:L91)</x:f>
        <x:v>0</x:v>
      </x:c>
      <x:c r="S90" s="816">
        <x:f>MAX(E90:N90,E91:L91)</x:f>
        <x:v>0</x:v>
      </x:c>
      <x:c r="T90" s="821" t="e">
        <x:f>AVERAGE(E90:N90,E91:L91)</x:f>
        <x:v>#DIV/0!</x:v>
      </x:c>
      <x:c r="U90" s="823" t="s">
        <x:v>76</x:v>
      </x:c>
    </x:row>
    <x:row r="91" spans="1:21">
      <x:c r="A91" s="774"/>
      <x:c r="B91" s="819"/>
      <x:c r="C91" s="819"/>
      <x:c r="D91" s="825"/>
      <x:c r="E91" s="816"/>
      <x:c r="F91" s="816"/>
      <x:c r="G91" s="816"/>
      <x:c r="H91" s="816"/>
      <x:c r="I91" s="816"/>
      <x:c r="J91" s="816"/>
      <x:c r="K91" s="816"/>
      <x:c r="L91" s="781"/>
      <x:c r="M91" s="438"/>
      <x:c r="N91" s="438"/>
      <x:c r="O91" s="436"/>
      <x:c r="P91" s="437"/>
      <x:c r="Q91" s="426"/>
      <x:c r="R91" s="782"/>
      <x:c r="S91" s="816"/>
      <x:c r="T91" s="826"/>
      <x:c r="U91" s="823" t="s">
        <x:v>76</x:v>
      </x:c>
    </x:row>
    <x:row r="92" spans="1:20">
      <x:c r="A92" s="806" t="s">
        <x:v>367</x:v>
      </x:c>
      <x:c r="B92" s="791" t="str">
        <x:f>B67</x:f>
        <x:v>5층 1-9반</x:v>
      </x:c>
      <x:c r="C92" s="791" t="str">
        <x:f>C67</x:f>
        <x:v>13:03 ~ 13:13</x:v>
      </x:c>
      <x:c r="D92" s="808"/>
      <x:c r="E92" s="297"/>
      <x:c r="F92" s="297"/>
      <x:c r="G92" s="176"/>
      <x:c r="H92" s="176"/>
      <x:c r="I92" s="176"/>
      <x:c r="J92" s="176"/>
      <x:c r="K92" s="176"/>
      <x:c r="L92" s="176"/>
      <x:c r="M92" s="176"/>
      <x:c r="N92" s="176"/>
      <x:c r="O92" s="177"/>
      <x:c r="P92" s="310"/>
      <x:c r="Q92" s="434" t="str">
        <x:f>Q84</x:f>
        <x:v>KEH-TM-01</x:v>
      </x:c>
      <x:c r="R92" s="214">
        <x:f>R76</x:f>
        <x:v>334</x:v>
      </x:c>
      <x:c r="S92" s="156">
        <x:f>S76</x:f>
        <x:v>481</x:v>
      </x:c>
      <x:c r="T92" s="256">
        <x:f>S92/R92</x:f>
        <x:v>1.4401197604790419</x:v>
      </x:c>
    </x:row>
    <x:row r="93" spans="1:20" ht="13.800000000000001">
      <x:c r="A93" s="774"/>
      <x:c r="B93" s="807"/>
      <x:c r="C93" s="807"/>
      <x:c r="D93" s="807"/>
      <x:c r="E93" s="296"/>
      <x:c r="F93" s="296"/>
      <x:c r="G93" s="178"/>
      <x:c r="H93" s="178"/>
      <x:c r="I93" s="178"/>
      <x:c r="J93" s="178"/>
      <x:c r="K93" s="178"/>
      <x:c r="L93" s="178"/>
      <x:c r="M93" s="178"/>
      <x:c r="N93" s="178"/>
      <x:c r="O93" s="179"/>
      <x:c r="P93" s="311"/>
      <x:c r="Q93" s="435"/>
      <x:c r="R93" s="161"/>
      <x:c r="S93" s="172"/>
      <x:c r="T93" s="230"/>
    </x:row>
    <x:row r="94" spans="1:20">
      <x:c r="A94" s="774"/>
      <x:c r="B94" s="807" t="str">
        <x:f>B68</x:f>
        <x:v>4층 1-7반</x:v>
      </x:c>
      <x:c r="C94" s="807" t="str">
        <x:f>C68</x:f>
        <x:v>13:15 ~ 13:25</x:v>
      </x:c>
      <x:c r="D94" s="807"/>
      <x:c r="E94" s="296"/>
      <x:c r="F94" s="296"/>
      <x:c r="G94" s="178"/>
      <x:c r="H94" s="178"/>
      <x:c r="I94" s="178"/>
      <x:c r="J94" s="178"/>
      <x:c r="K94" s="178"/>
      <x:c r="L94" s="178"/>
      <x:c r="M94" s="178"/>
      <x:c r="N94" s="178"/>
      <x:c r="O94" s="162"/>
      <x:c r="P94" s="196"/>
      <x:c r="Q94" s="435"/>
      <x:c r="R94" s="161">
        <x:f>R78</x:f>
        <x:v>427</x:v>
      </x:c>
      <x:c r="S94" s="172">
        <x:f>S78</x:f>
        <x:v>568</x:v>
      </x:c>
      <x:c r="T94" s="256">
        <x:f>S94/R94</x:f>
        <x:v>1.3302107728337236</x:v>
      </x:c>
    </x:row>
    <x:row r="95" spans="1:20" ht="13.800000000000001">
      <x:c r="A95" s="774"/>
      <x:c r="B95" s="807"/>
      <x:c r="C95" s="807"/>
      <x:c r="D95" s="807"/>
      <x:c r="E95" s="296"/>
      <x:c r="F95" s="296"/>
      <x:c r="G95" s="178"/>
      <x:c r="H95" s="178"/>
      <x:c r="I95" s="178"/>
      <x:c r="J95" s="178"/>
      <x:c r="K95" s="178"/>
      <x:c r="L95" s="178"/>
      <x:c r="M95" s="178"/>
      <x:c r="N95" s="178"/>
      <x:c r="O95" s="162"/>
      <x:c r="P95" s="196"/>
      <x:c r="Q95" s="435"/>
      <x:c r="R95" s="161"/>
      <x:c r="S95" s="172"/>
      <x:c r="T95" s="230"/>
    </x:row>
    <x:row r="96" spans="1:20">
      <x:c r="A96" s="774"/>
      <x:c r="B96" s="807" t="str">
        <x:f>B69</x:f>
        <x:v>2층 (도제)세무실무실습실</x:v>
      </x:c>
      <x:c r="C96" s="807" t="str">
        <x:f>C69</x:f>
        <x:v>13:26 ~ 13:36</x:v>
      </x:c>
      <x:c r="D96" s="807"/>
      <x:c r="E96" s="296"/>
      <x:c r="F96" s="296"/>
      <x:c r="G96" s="178"/>
      <x:c r="H96" s="178"/>
      <x:c r="I96" s="178"/>
      <x:c r="J96" s="178"/>
      <x:c r="K96" s="178"/>
      <x:c r="L96" s="178"/>
      <x:c r="M96" s="178"/>
      <x:c r="N96" s="178"/>
      <x:c r="O96" s="162"/>
      <x:c r="P96" s="196"/>
      <x:c r="Q96" s="435"/>
      <x:c r="R96" s="161">
        <x:f>R80</x:f>
        <x:v>612</x:v>
      </x:c>
      <x:c r="S96" s="172">
        <x:f>S80</x:f>
        <x:v>893</x:v>
      </x:c>
      <x:c r="T96" s="256">
        <x:f>S96/R96</x:f>
        <x:v>1.4591503267973855</x:v>
      </x:c>
    </x:row>
    <x:row r="97" spans="1:20">
      <x:c r="A97" s="774"/>
      <x:c r="B97" s="807"/>
      <x:c r="C97" s="807"/>
      <x:c r="D97" s="809"/>
      <x:c r="E97" s="296"/>
      <x:c r="F97" s="296"/>
      <x:c r="G97" s="178"/>
      <x:c r="H97" s="178"/>
      <x:c r="I97" s="178"/>
      <x:c r="J97" s="178"/>
      <x:c r="K97" s="178"/>
      <x:c r="L97" s="178"/>
      <x:c r="M97" s="178"/>
      <x:c r="N97" s="178"/>
      <x:c r="O97" s="162"/>
      <x:c r="P97" s="196"/>
      <x:c r="Q97" s="435"/>
      <x:c r="R97" s="161"/>
      <x:c r="S97" s="172"/>
      <x:c r="T97" s="230"/>
    </x:row>
    <x:row r="98" spans="1:21">
      <x:c r="A98" s="774"/>
      <x:c r="B98" s="816">
        <x:f>B70</x:f>
        <x:v>0</x:v>
      </x:c>
      <x:c r="C98" s="816">
        <x:f>C70</x:f>
        <x:v>0</x:v>
      </x:c>
      <x:c r="D98" s="818"/>
      <x:c r="E98" s="427"/>
      <x:c r="F98" s="427"/>
      <x:c r="G98" s="436"/>
      <x:c r="H98" s="436"/>
      <x:c r="I98" s="436"/>
      <x:c r="J98" s="436"/>
      <x:c r="K98" s="436"/>
      <x:c r="L98" s="436"/>
      <x:c r="M98" s="436"/>
      <x:c r="N98" s="436"/>
      <x:c r="O98" s="440"/>
      <x:c r="P98" s="441"/>
      <x:c r="Q98" s="426"/>
      <x:c r="R98" s="424">
        <x:f>R82</x:f>
        <x:v>0</x:v>
      </x:c>
      <x:c r="S98" s="427">
        <x:f>S82</x:f>
        <x:v>0</x:v>
      </x:c>
      <x:c r="T98" s="442" t="e">
        <x:f>R98/S98</x:f>
        <x:v>#DIV/0!</x:v>
      </x:c>
      <x:c r="U98" s="823" t="s">
        <x:v>76</x:v>
      </x:c>
    </x:row>
    <x:row r="99" spans="1:21">
      <x:c r="A99" s="775"/>
      <x:c r="B99" s="817"/>
      <x:c r="C99" s="817"/>
      <x:c r="D99" s="819"/>
      <x:c r="E99" s="433"/>
      <x:c r="F99" s="433"/>
      <x:c r="G99" s="443"/>
      <x:c r="H99" s="443"/>
      <x:c r="I99" s="443"/>
      <x:c r="J99" s="443"/>
      <x:c r="K99" s="443"/>
      <x:c r="L99" s="443"/>
      <x:c r="M99" s="443"/>
      <x:c r="N99" s="443"/>
      <x:c r="O99" s="444"/>
      <x:c r="P99" s="425"/>
      <x:c r="Q99" s="445"/>
      <x:c r="R99" s="424"/>
      <x:c r="S99" s="427"/>
      <x:c r="T99" s="446"/>
      <x:c r="U99" s="823" t="s">
        <x:v>76</x:v>
      </x:c>
    </x:row>
    <x:row r="100" spans="1:20" ht="16.5" customHeight="1">
      <x:c r="A100" s="806" t="s">
        <x:v>375</x:v>
      </x:c>
      <x:c r="B100" s="791" t="str">
        <x:f>$B$67</x:f>
        <x:v>5층 1-9반</x:v>
      </x:c>
      <x:c r="C100" s="791" t="str">
        <x:f>$C$67</x:f>
        <x:v>13:03 ~ 13:13</x:v>
      </x:c>
      <x:c r="D100" s="808"/>
      <x:c r="E100" s="297"/>
      <x:c r="F100" s="297"/>
      <x:c r="G100" s="176"/>
      <x:c r="H100" s="176"/>
      <x:c r="I100" s="176"/>
      <x:c r="J100" s="176"/>
      <x:c r="K100" s="176"/>
      <x:c r="L100" s="176"/>
      <x:c r="M100" s="176"/>
      <x:c r="N100" s="176"/>
      <x:c r="O100" s="177"/>
      <x:c r="P100" s="310"/>
      <x:c r="Q100" s="434" t="str">
        <x:f>Q92</x:f>
        <x:v>KEH-TM-01</x:v>
      </x:c>
      <x:c r="R100" s="214">
        <x:f>R84</x:f>
        <x:v>732</x:v>
      </x:c>
      <x:c r="S100" s="156">
        <x:f>S84</x:f>
        <x:v>953</x:v>
      </x:c>
      <x:c r="T100" s="256">
        <x:f>S100/R100</x:f>
        <x:v>1.3019125683060109</x:v>
      </x:c>
    </x:row>
    <x:row r="101" spans="1:20" ht="13.800000000000001">
      <x:c r="A101" s="774"/>
      <x:c r="B101" s="807"/>
      <x:c r="C101" s="807"/>
      <x:c r="D101" s="807"/>
      <x:c r="E101" s="296"/>
      <x:c r="F101" s="296"/>
      <x:c r="G101" s="178"/>
      <x:c r="H101" s="178"/>
      <x:c r="I101" s="178"/>
      <x:c r="J101" s="178"/>
      <x:c r="K101" s="178"/>
      <x:c r="L101" s="178"/>
      <x:c r="M101" s="178"/>
      <x:c r="N101" s="178"/>
      <x:c r="O101" s="179"/>
      <x:c r="P101" s="311"/>
      <x:c r="Q101" s="435"/>
      <x:c r="R101" s="161"/>
      <x:c r="S101" s="172"/>
      <x:c r="T101" s="230"/>
    </x:row>
    <x:row r="102" spans="1:20">
      <x:c r="A102" s="774"/>
      <x:c r="B102" s="807" t="str">
        <x:f>$B$68</x:f>
        <x:v>4층 1-7반</x:v>
      </x:c>
      <x:c r="C102" s="807" t="str">
        <x:f>$C$68</x:f>
        <x:v>13:15 ~ 13:25</x:v>
      </x:c>
      <x:c r="D102" s="807"/>
      <x:c r="E102" s="296"/>
      <x:c r="F102" s="296"/>
      <x:c r="G102" s="178"/>
      <x:c r="H102" s="178"/>
      <x:c r="I102" s="178"/>
      <x:c r="J102" s="178"/>
      <x:c r="K102" s="178"/>
      <x:c r="L102" s="178"/>
      <x:c r="M102" s="178"/>
      <x:c r="N102" s="178"/>
      <x:c r="O102" s="162"/>
      <x:c r="P102" s="196"/>
      <x:c r="Q102" s="435"/>
      <x:c r="R102" s="161">
        <x:f>R86</x:f>
        <x:v>689</x:v>
      </x:c>
      <x:c r="S102" s="172">
        <x:f>S86</x:f>
        <x:v>896</x:v>
      </x:c>
      <x:c r="T102" s="256">
        <x:f>S102/R102</x:f>
        <x:v>1.3004354136429608</x:v>
      </x:c>
    </x:row>
    <x:row r="103" spans="1:20" ht="13.800000000000001">
      <x:c r="A103" s="774"/>
      <x:c r="B103" s="807"/>
      <x:c r="C103" s="807"/>
      <x:c r="D103" s="807"/>
      <x:c r="E103" s="296"/>
      <x:c r="F103" s="296"/>
      <x:c r="G103" s="178"/>
      <x:c r="H103" s="178"/>
      <x:c r="I103" s="178"/>
      <x:c r="J103" s="178"/>
      <x:c r="K103" s="178"/>
      <x:c r="L103" s="178"/>
      <x:c r="M103" s="178"/>
      <x:c r="N103" s="178"/>
      <x:c r="O103" s="162"/>
      <x:c r="P103" s="196"/>
      <x:c r="Q103" s="435"/>
      <x:c r="R103" s="161"/>
      <x:c r="S103" s="172"/>
      <x:c r="T103" s="230"/>
    </x:row>
    <x:row r="104" spans="1:20">
      <x:c r="A104" s="774"/>
      <x:c r="B104" s="807" t="str">
        <x:f>$B$69</x:f>
        <x:v>2층 (도제)세무실무실습실</x:v>
      </x:c>
      <x:c r="C104" s="807" t="str">
        <x:f>$C$69</x:f>
        <x:v>13:26 ~ 13:36</x:v>
      </x:c>
      <x:c r="D104" s="807"/>
      <x:c r="E104" s="296"/>
      <x:c r="F104" s="296"/>
      <x:c r="G104" s="178"/>
      <x:c r="H104" s="178"/>
      <x:c r="I104" s="178"/>
      <x:c r="J104" s="178"/>
      <x:c r="K104" s="178"/>
      <x:c r="L104" s="178"/>
      <x:c r="M104" s="178"/>
      <x:c r="N104" s="178"/>
      <x:c r="O104" s="162"/>
      <x:c r="P104" s="196"/>
      <x:c r="Q104" s="435"/>
      <x:c r="R104" s="161">
        <x:f>R88</x:f>
        <x:v>642</x:v>
      </x:c>
      <x:c r="S104" s="172">
        <x:f>S88</x:f>
        <x:v>872</x:v>
      </x:c>
      <x:c r="T104" s="256">
        <x:f>S104/R104</x:f>
        <x:v>1.3582554517133956</x:v>
      </x:c>
    </x:row>
    <x:row r="105" spans="1:20">
      <x:c r="A105" s="774"/>
      <x:c r="B105" s="807"/>
      <x:c r="C105" s="807"/>
      <x:c r="D105" s="809"/>
      <x:c r="E105" s="296"/>
      <x:c r="F105" s="296"/>
      <x:c r="G105" s="178"/>
      <x:c r="H105" s="178"/>
      <x:c r="I105" s="178"/>
      <x:c r="J105" s="178"/>
      <x:c r="K105" s="178"/>
      <x:c r="L105" s="178"/>
      <x:c r="M105" s="178"/>
      <x:c r="N105" s="178"/>
      <x:c r="O105" s="162"/>
      <x:c r="P105" s="196"/>
      <x:c r="Q105" s="435"/>
      <x:c r="R105" s="161"/>
      <x:c r="S105" s="172"/>
      <x:c r="T105" s="230"/>
    </x:row>
    <x:row r="106" spans="1:21">
      <x:c r="A106" s="774"/>
      <x:c r="B106" s="827">
        <x:f>$B$70</x:f>
        <x:v>0</x:v>
      </x:c>
      <x:c r="C106" s="818">
        <x:f>$C$70</x:f>
        <x:v>0</x:v>
      </x:c>
      <x:c r="D106" s="818"/>
      <x:c r="E106" s="447"/>
      <x:c r="F106" s="447"/>
      <x:c r="G106" s="448"/>
      <x:c r="H106" s="448"/>
      <x:c r="I106" s="448"/>
      <x:c r="J106" s="448"/>
      <x:c r="K106" s="448"/>
      <x:c r="L106" s="448"/>
      <x:c r="M106" s="448"/>
      <x:c r="N106" s="448"/>
      <x:c r="O106" s="449"/>
      <x:c r="P106" s="429"/>
      <x:c r="Q106" s="426"/>
      <x:c r="R106" s="424">
        <x:f>R90</x:f>
        <x:v>0</x:v>
      </x:c>
      <x:c r="S106" s="427">
        <x:f>S90</x:f>
        <x:v>0</x:v>
      </x:c>
      <x:c r="T106" s="442" t="e">
        <x:f>R106/S106</x:f>
        <x:v>#DIV/0!</x:v>
      </x:c>
      <x:c r="U106" s="823"/>
    </x:row>
    <x:row r="107" spans="1:21">
      <x:c r="A107" s="775"/>
      <x:c r="B107" s="819"/>
      <x:c r="C107" s="819"/>
      <x:c r="D107" s="819"/>
      <x:c r="E107" s="433"/>
      <x:c r="F107" s="433"/>
      <x:c r="G107" s="443"/>
      <x:c r="H107" s="443"/>
      <x:c r="I107" s="443"/>
      <x:c r="J107" s="443"/>
      <x:c r="K107" s="443"/>
      <x:c r="L107" s="443"/>
      <x:c r="M107" s="443"/>
      <x:c r="N107" s="443"/>
      <x:c r="O107" s="444"/>
      <x:c r="P107" s="425"/>
      <x:c r="Q107" s="445"/>
      <x:c r="R107" s="450"/>
      <x:c r="S107" s="433"/>
      <x:c r="T107" s="451"/>
      <x:c r="U107" s="823" t="s">
        <x:v>76</x:v>
      </x:c>
    </x:row>
    <x:row r="108" spans="1:20">
      <x:c r="A108" s="806" t="s">
        <x:v>438</x:v>
      </x:c>
      <x:c r="B108" s="156" t="str">
        <x:f>$B$67</x:f>
        <x:v>5층 1-9반</x:v>
      </x:c>
      <x:c r="C108" s="336" t="str">
        <x:f>C67</x:f>
        <x:v>13:03 ~ 13:13</x:v>
      </x:c>
      <x:c r="D108" s="156">
        <x:v>2</x:v>
      </x:c>
      <x:c r="E108" s="828">
        <x:v>47.200000000000003</x:v>
      </x:c>
      <x:c r="F108" s="828"/>
      <x:c r="G108" s="828">
        <x:v>48</x:v>
      </x:c>
      <x:c r="H108" s="828"/>
      <x:c r="I108" s="829"/>
      <x:c r="J108" s="829"/>
      <x:c r="K108" s="829"/>
      <x:c r="L108" s="829"/>
      <x:c r="M108" s="829"/>
      <x:c r="N108" s="829"/>
      <x:c r="O108" s="177"/>
      <x:c r="P108" s="310"/>
      <x:c r="Q108" s="434" t="s">
        <x:v>494</x:v>
      </x:c>
      <x:c r="R108" s="180">
        <x:f>MIN(E108:H108)</x:f>
        <x:v>47.200000000000003</x:v>
      </x:c>
      <x:c r="S108" s="181">
        <x:f>MAX(E108:H108)</x:f>
        <x:v>48</x:v>
      </x:c>
      <x:c r="T108" s="171">
        <x:f>AVERAGE(E108:H108)</x:f>
        <x:v>47.600000000000001</x:v>
      </x:c>
    </x:row>
    <x:row r="109" spans="1:20">
      <x:c r="A109" s="774"/>
      <x:c r="B109" s="172" t="str">
        <x:f>$B$68</x:f>
        <x:v>4층 1-7반</x:v>
      </x:c>
      <x:c r="C109" s="172" t="str">
        <x:f>C68</x:f>
        <x:v>13:15 ~ 13:25</x:v>
      </x:c>
      <x:c r="D109" s="172">
        <x:v>2</x:v>
      </x:c>
      <x:c r="E109" s="830">
        <x:v>49.200000000000003</x:v>
      </x:c>
      <x:c r="F109" s="830"/>
      <x:c r="G109" s="830">
        <x:v>48.700000000000003</x:v>
      </x:c>
      <x:c r="H109" s="830"/>
      <x:c r="I109" s="831"/>
      <x:c r="J109" s="831"/>
      <x:c r="K109" s="831"/>
      <x:c r="L109" s="831"/>
      <x:c r="M109" s="831"/>
      <x:c r="N109" s="831"/>
      <x:c r="O109" s="179"/>
      <x:c r="P109" s="311"/>
      <x:c r="Q109" s="435"/>
      <x:c r="R109" s="182">
        <x:f>MIN(E109:H109)</x:f>
        <x:v>48.700000000000003</x:v>
      </x:c>
      <x:c r="S109" s="183">
        <x:f>MAX(E109:H109)</x:f>
        <x:v>49.200000000000003</x:v>
      </x:c>
      <x:c r="T109" s="173">
        <x:f>AVERAGE(E109:H109)</x:f>
        <x:v>48.950000000000003</x:v>
      </x:c>
    </x:row>
    <x:row r="110" spans="1:20">
      <x:c r="A110" s="774"/>
      <x:c r="B110" s="172" t="str">
        <x:f>$B$69</x:f>
        <x:v>2층 (도제)세무실무실습실</x:v>
      </x:c>
      <x:c r="C110" s="172" t="str">
        <x:f>C69</x:f>
        <x:v>13:26 ~ 13:36</x:v>
      </x:c>
      <x:c r="D110" s="172">
        <x:v>2</x:v>
      </x:c>
      <x:c r="E110" s="830">
        <x:v>50.100000000000001</x:v>
      </x:c>
      <x:c r="F110" s="830"/>
      <x:c r="G110" s="830">
        <x:v>50.899999999999999</x:v>
      </x:c>
      <x:c r="H110" s="830"/>
      <x:c r="I110" s="831"/>
      <x:c r="J110" s="831"/>
      <x:c r="K110" s="831"/>
      <x:c r="L110" s="831"/>
      <x:c r="M110" s="831"/>
      <x:c r="N110" s="831"/>
      <x:c r="O110" s="179"/>
      <x:c r="P110" s="311"/>
      <x:c r="Q110" s="435"/>
      <x:c r="R110" s="184">
        <x:f>MIN(E110:H110)</x:f>
        <x:v>50.100000000000001</x:v>
      </x:c>
      <x:c r="S110" s="185">
        <x:f>MAX(E110:H110)</x:f>
        <x:v>50.899999999999999</x:v>
      </x:c>
      <x:c r="T110" s="175">
        <x:f>AVERAGE(E110:H110)</x:f>
        <x:v>50.5</x:v>
      </x:c>
    </x:row>
    <x:row r="111" spans="1:21">
      <x:c r="A111" s="775"/>
      <x:c r="B111" s="452">
        <x:f>$B$70</x:f>
        <x:v>0</x:v>
      </x:c>
      <x:c r="C111" s="452">
        <x:f>C70</x:f>
        <x:v>0</x:v>
      </x:c>
      <x:c r="D111" s="452">
        <x:v>2</x:v>
      </x:c>
      <x:c r="E111" s="832"/>
      <x:c r="F111" s="832"/>
      <x:c r="G111" s="832"/>
      <x:c r="H111" s="832"/>
      <x:c r="I111" s="817"/>
      <x:c r="J111" s="817"/>
      <x:c r="K111" s="817"/>
      <x:c r="L111" s="817"/>
      <x:c r="M111" s="817"/>
      <x:c r="N111" s="817"/>
      <x:c r="O111" s="453"/>
      <x:c r="P111" s="454"/>
      <x:c r="Q111" s="445"/>
      <x:c r="R111" s="455">
        <x:f>MIN(E111:H111)</x:f>
        <x:v>0</x:v>
      </x:c>
      <x:c r="S111" s="456">
        <x:f>MAX(E111:H111)</x:f>
        <x:v>0</x:v>
      </x:c>
      <x:c r="T111" s="439" t="e">
        <x:f>AVERAGE(E111:H111)</x:f>
        <x:v>#DIV/0!</x:v>
      </x:c>
      <x:c r="U111" s="429" t="s">
        <x:v>76</x:v>
      </x:c>
    </x:row>
    <x:row r="112" spans="1:20" ht="12" customHeight="1">
      <x:c r="A112" s="833" t="s">
        <x:v>381</x:v>
      </x:c>
      <x:c r="B112" s="92" t="str">
        <x:f>B9</x:f>
        <x:v>1층 1-12반</x:v>
      </x:c>
      <x:c r="C112" s="92" t="str">
        <x:f>C9</x:f>
        <x:v>13:12 ~ 14:12</x:v>
      </x:c>
      <x:c r="D112" s="496">
        <x:v>2</x:v>
      </x:c>
      <x:c r="E112" s="836">
        <x:f>'[1]분석결과시트'!$D$54</x:f>
        <x:v>14.303684869726011</x:v>
      </x:c>
      <x:c r="F112" s="836"/>
      <x:c r="G112" s="836">
        <x:f>'[1]분석결과시트'!$D$55</x:f>
        <x:v>16.788361941885899</x:v>
      </x:c>
      <x:c r="H112" s="836"/>
      <x:c r="I112" s="808"/>
      <x:c r="J112" s="808"/>
      <x:c r="K112" s="808"/>
      <x:c r="L112" s="808"/>
      <x:c r="M112" s="808"/>
      <x:c r="N112" s="808"/>
      <x:c r="O112" s="157"/>
      <x:c r="P112" s="312"/>
      <x:c r="Q112" s="204" t="s">
        <x:v>495</x:v>
      </x:c>
      <x:c r="R112" s="187">
        <x:f>MIN(E112:H112)</x:f>
        <x:v>14.303684869726011</x:v>
      </x:c>
      <x:c r="S112" s="188">
        <x:f>MAX(E112:H112)</x:f>
        <x:v>16.788361941885899</x:v>
      </x:c>
      <x:c r="T112" s="189">
        <x:f>AVERAGE(E112:H112)</x:f>
        <x:v>15.546023405805954</x:v>
      </x:c>
    </x:row>
    <x:row r="113" spans="1:20" ht="12" customHeight="1">
      <x:c r="A113" s="834"/>
      <x:c r="B113" s="88" t="str">
        <x:f t="shared" ref="B113:C113" si="35">B10</x:f>
        <x:v>2층 2-12반</x:v>
      </x:c>
      <x:c r="C113" s="88" t="str">
        <x:f t="shared" si="35"/>
        <x:v>14:05 ~ 15:05</x:v>
      </x:c>
      <x:c r="D113" s="497">
        <x:v>2</x:v>
      </x:c>
      <x:c r="E113" s="837">
        <x:f>'[1]분석결과시트'!$D$52</x:f>
        <x:v>7.7332291381190315</x:v>
      </x:c>
      <x:c r="F113" s="838"/>
      <x:c r="G113" s="837">
        <x:f>'[1]분석결과시트'!$D$53</x:f>
        <x:v>9.5305230731706221</x:v>
      </x:c>
      <x:c r="H113" s="838"/>
      <x:c r="I113" s="796"/>
      <x:c r="J113" s="797"/>
      <x:c r="K113" s="796"/>
      <x:c r="L113" s="797"/>
      <x:c r="M113" s="796"/>
      <x:c r="N113" s="797"/>
      <x:c r="O113" s="162"/>
      <x:c r="P113" s="313"/>
      <x:c r="Q113" s="205" t="s">
        <x:v>501</x:v>
      </x:c>
      <x:c r="R113" s="190">
        <x:f t="shared" ref="R113:R114" si="36">MIN(E113:H113)</x:f>
        <x:v>7.7332291381190315</x:v>
      </x:c>
      <x:c r="S113" s="191">
        <x:f t="shared" ref="S113:S114" si="37">MAX(E113:H113)</x:f>
        <x:v>9.5305230731706221</x:v>
      </x:c>
      <x:c r="T113" s="192">
        <x:f t="shared" ref="T113:T114" si="38">AVERAGE(E113:H113)</x:f>
        <x:v>8.6318761056448263</x:v>
      </x:c>
    </x:row>
    <x:row r="114" spans="1:20">
      <x:c r="A114" s="835"/>
      <x:c r="B114" s="90" t="str">
        <x:f t="shared" ref="B114:C114" si="39">B11</x:f>
        <x:v>1층 스포티존</x:v>
      </x:c>
      <x:c r="C114" s="90" t="str">
        <x:f t="shared" si="39"/>
        <x:v>13:00 ~ 14:00</x:v>
      </x:c>
      <x:c r="D114" s="498">
        <x:v>2</x:v>
      </x:c>
      <x:c r="E114" s="839">
        <x:f>'[1]분석결과시트'!$D$50</x:f>
        <x:v>28.577047358936689</x:v>
      </x:c>
      <x:c r="F114" s="840"/>
      <x:c r="G114" s="839">
        <x:f>'[1]분석결과시트'!$D$51</x:f>
        <x:v>26.227584291295798</x:v>
      </x:c>
      <x:c r="H114" s="840"/>
      <x:c r="I114" s="168"/>
      <x:c r="J114" s="169"/>
      <x:c r="K114" s="168"/>
      <x:c r="L114" s="169"/>
      <x:c r="M114" s="168"/>
      <x:c r="N114" s="169"/>
      <x:c r="O114" s="170"/>
      <x:c r="P114" s="314"/>
      <x:c r="Q114" s="206" t="s">
        <x:v>495</x:v>
      </x:c>
      <x:c r="R114" s="193">
        <x:f t="shared" si="36"/>
        <x:v>26.227584291295798</x:v>
      </x:c>
      <x:c r="S114" s="194">
        <x:f t="shared" si="37"/>
        <x:v>28.577047358936689</x:v>
      </x:c>
      <x:c r="T114" s="195">
        <x:f t="shared" si="38"/>
        <x:v>27.402315825116244</x:v>
      </x:c>
    </x:row>
    <x:row r="115" spans="1:20" ht="12.75" customHeight="1">
      <x:c r="A115" s="833" t="s">
        <x:v>474</x:v>
      </x:c>
      <x:c r="B115" s="92" t="str">
        <x:f>B112</x:f>
        <x:v>1층 1-12반</x:v>
      </x:c>
      <x:c r="C115" s="92" t="str">
        <x:f>C112</x:f>
        <x:v>13:12 ~ 14:12</x:v>
      </x:c>
      <x:c r="D115" s="496">
        <x:v>2</x:v>
      </x:c>
      <x:c r="E115" s="836">
        <x:f>'[2]분석결과시트'!$E$55</x:f>
        <x:v>116.77156937706951</x:v>
      </x:c>
      <x:c r="F115" s="836"/>
      <x:c r="G115" s="836">
        <x:f>'[2]분석결과시트'!$E$56</x:f>
        <x:v>141.58957404341547</x:v>
      </x:c>
      <x:c r="H115" s="836"/>
      <x:c r="I115" s="808"/>
      <x:c r="J115" s="808"/>
      <x:c r="K115" s="808"/>
      <x:c r="L115" s="808"/>
      <x:c r="M115" s="808"/>
      <x:c r="N115" s="808"/>
      <x:c r="O115" s="157"/>
      <x:c r="P115" s="312"/>
      <x:c r="Q115" s="204" t="s">
        <x:v>498</x:v>
      </x:c>
      <x:c r="R115" s="187">
        <x:f>MIN(E115:H115)</x:f>
        <x:v>116.77156937706951</x:v>
      </x:c>
      <x:c r="S115" s="188">
        <x:f>MAX(E115:H115)</x:f>
        <x:v>141.58957404341547</x:v>
      </x:c>
      <x:c r="T115" s="189">
        <x:f>AVERAGE(E115:H115)</x:f>
        <x:v>129.18057171024248</x:v>
      </x:c>
    </x:row>
    <x:row r="116" spans="1:20">
      <x:c r="A116" s="834"/>
      <x:c r="B116" s="88" t="str">
        <x:f t="shared" ref="B116:C116" si="40">B113</x:f>
        <x:v>2층 2-12반</x:v>
      </x:c>
      <x:c r="C116" s="88" t="str">
        <x:f t="shared" si="40"/>
        <x:v>14:05 ~ 15:05</x:v>
      </x:c>
      <x:c r="D116" s="497">
        <x:v>2</x:v>
      </x:c>
      <x:c r="E116" s="837">
        <x:f>'[2]분석결과시트'!$E$53</x:f>
        <x:v>126.04542176616226</x:v>
      </x:c>
      <x:c r="F116" s="838"/>
      <x:c r="G116" s="837">
        <x:f>'[2]분석결과시트'!$E$54</x:f>
        <x:v>114.63926240710406</x:v>
      </x:c>
      <x:c r="H116" s="838"/>
      <x:c r="I116" s="796"/>
      <x:c r="J116" s="797"/>
      <x:c r="K116" s="796"/>
      <x:c r="L116" s="797"/>
      <x:c r="M116" s="796"/>
      <x:c r="N116" s="797"/>
      <x:c r="O116" s="162"/>
      <x:c r="P116" s="313"/>
      <x:c r="Q116" s="205" t="s">
        <x:v>501</x:v>
      </x:c>
      <x:c r="R116" s="190">
        <x:f t="shared" ref="R116:R117" si="41">MIN(E116:H116)</x:f>
        <x:v>114.63926240710406</x:v>
      </x:c>
      <x:c r="S116" s="191">
        <x:f t="shared" ref="S116:S117" si="42">MAX(E116:H116)</x:f>
        <x:v>126.04542176616226</x:v>
      </x:c>
      <x:c r="T116" s="192">
        <x:f t="shared" ref="T116:T117" si="43">AVERAGE(E116:H116)</x:f>
        <x:v>120.34234208663315</x:v>
      </x:c>
    </x:row>
    <x:row r="117" spans="1:20" ht="16.649999999999999" customHeight="1">
      <x:c r="A117" s="835"/>
      <x:c r="B117" s="90" t="str">
        <x:f t="shared" ref="B117:C117" si="44">B114</x:f>
        <x:v>1층 스포티존</x:v>
      </x:c>
      <x:c r="C117" s="90" t="str">
        <x:f t="shared" si="44"/>
        <x:v>13:00 ~ 14:00</x:v>
      </x:c>
      <x:c r="D117" s="498">
        <x:v>2</x:v>
      </x:c>
      <x:c r="E117" s="839">
        <x:f>'[2]분석결과시트'!$E$51</x:f>
        <x:v>155.85074710853817</x:v>
      </x:c>
      <x:c r="F117" s="840"/>
      <x:c r="G117" s="839">
        <x:f>'[2]분석결과시트'!$E$52</x:f>
        <x:v>150.27510466198262</x:v>
      </x:c>
      <x:c r="H117" s="840"/>
      <x:c r="I117" s="168"/>
      <x:c r="J117" s="169"/>
      <x:c r="K117" s="168"/>
      <x:c r="L117" s="169"/>
      <x:c r="M117" s="168"/>
      <x:c r="N117" s="169"/>
      <x:c r="O117" s="170"/>
      <x:c r="P117" s="314"/>
      <x:c r="Q117" s="206" t="s">
        <x:v>498</x:v>
      </x:c>
      <x:c r="R117" s="193">
        <x:f t="shared" si="41"/>
        <x:v>150.27510466198262</x:v>
      </x:c>
      <x:c r="S117" s="194">
        <x:f t="shared" si="42"/>
        <x:v>155.85074710853817</x:v>
      </x:c>
      <x:c r="T117" s="195">
        <x:f t="shared" si="43"/>
        <x:v>153.0629258852604</x:v>
      </x:c>
    </x:row>
    <x:row r="118" spans="1:20">
      <x:c r="A118" s="841" t="s">
        <x:v>470</x:v>
      </x:c>
      <x:c r="B118" s="92" t="str">
        <x:f>B115</x:f>
        <x:v>1층 1-12반</x:v>
      </x:c>
      <x:c r="C118" s="92" t="str">
        <x:f>C115</x:f>
        <x:v>13:12 ~ 14:12</x:v>
      </x:c>
      <x:c r="D118" s="89">
        <x:v>2</x:v>
      </x:c>
      <x:c r="E118" s="836">
        <x:f>'[2]분석결과시트'!$I$55</x:f>
        <x:v>23.019175332709118</x:v>
      </x:c>
      <x:c r="F118" s="836"/>
      <x:c r="G118" s="836">
        <x:f>'[2]분석결과시트'!$I$56</x:f>
        <x:v>25.933928230297024</x:v>
      </x:c>
      <x:c r="H118" s="836"/>
      <x:c r="I118" s="808"/>
      <x:c r="J118" s="808"/>
      <x:c r="K118" s="808"/>
      <x:c r="L118" s="808"/>
      <x:c r="M118" s="808"/>
      <x:c r="N118" s="808"/>
      <x:c r="O118" s="157"/>
      <x:c r="P118" s="312"/>
      <x:c r="Q118" s="204" t="str">
        <x:f t="shared" ref="Q118:Q132" si="45">Q115</x:f>
        <x:v>KEH-V-01</x:v>
      </x:c>
      <x:c r="R118" s="187">
        <x:f>MIN(E118:H118)</x:f>
        <x:v>23.019175332709118</x:v>
      </x:c>
      <x:c r="S118" s="188">
        <x:f>MAX(E118:H118)</x:f>
        <x:v>25.933928230297024</x:v>
      </x:c>
      <x:c r="T118" s="189">
        <x:f>AVERAGE(E118:H118)</x:f>
        <x:v>24.476551781503069</x:v>
      </x:c>
    </x:row>
    <x:row r="119" spans="1:20">
      <x:c r="A119" s="842"/>
      <x:c r="B119" s="88" t="str">
        <x:f t="shared" ref="B119:C119" si="46">B116</x:f>
        <x:v>2층 2-12반</x:v>
      </x:c>
      <x:c r="C119" s="88" t="str">
        <x:f t="shared" si="46"/>
        <x:v>14:05 ~ 15:05</x:v>
      </x:c>
      <x:c r="D119" s="88">
        <x:v>2</x:v>
      </x:c>
      <x:c r="E119" s="837">
        <x:f>'[2]분석결과시트'!$I$53</x:f>
        <x:v>24.340938948458433</x:v>
      </x:c>
      <x:c r="F119" s="838"/>
      <x:c r="G119" s="837">
        <x:f>'[2]분석결과시트'!$I$54</x:f>
        <x:v>21.788879147195534</x:v>
      </x:c>
      <x:c r="H119" s="838"/>
      <x:c r="I119" s="796"/>
      <x:c r="J119" s="797"/>
      <x:c r="K119" s="796"/>
      <x:c r="L119" s="797"/>
      <x:c r="M119" s="796"/>
      <x:c r="N119" s="797"/>
      <x:c r="O119" s="162"/>
      <x:c r="P119" s="313"/>
      <x:c r="Q119" s="205" t="str">
        <x:f t="shared" si="45"/>
        <x:v>KEH-DU-01</x:v>
      </x:c>
      <x:c r="R119" s="190">
        <x:f t="shared" ref="R119:R120" si="47">MIN(E119:H119)</x:f>
        <x:v>21.788879147195534</x:v>
      </x:c>
      <x:c r="S119" s="191">
        <x:f t="shared" ref="S119:S120" si="48">MAX(E119:H119)</x:f>
        <x:v>24.340938948458433</x:v>
      </x:c>
      <x:c r="T119" s="192">
        <x:f t="shared" ref="T119:T120" si="49">AVERAGE(E119:H119)</x:f>
        <x:v>23.064909047826983</x:v>
      </x:c>
    </x:row>
    <x:row r="120" spans="1:20">
      <x:c r="A120" s="843"/>
      <x:c r="B120" s="90" t="str">
        <x:f t="shared" ref="B120:C120" si="50">B117</x:f>
        <x:v>1층 스포티존</x:v>
      </x:c>
      <x:c r="C120" s="90" t="str">
        <x:f t="shared" si="50"/>
        <x:v>13:00 ~ 14:00</x:v>
      </x:c>
      <x:c r="D120" s="90">
        <x:v>2</x:v>
      </x:c>
      <x:c r="E120" s="839">
        <x:f>'[2]분석결과시트'!$I$51</x:f>
        <x:v>17.332717692440752</x:v>
      </x:c>
      <x:c r="F120" s="840"/>
      <x:c r="G120" s="844">
        <x:f>'[2]분석결과시트'!$I$52</x:f>
        <x:v>27.17270338417822</x:v>
      </x:c>
      <x:c r="H120" s="845"/>
      <x:c r="I120" s="168"/>
      <x:c r="J120" s="169"/>
      <x:c r="K120" s="168"/>
      <x:c r="L120" s="169"/>
      <x:c r="M120" s="168"/>
      <x:c r="N120" s="169"/>
      <x:c r="O120" s="170"/>
      <x:c r="P120" s="314"/>
      <x:c r="Q120" s="206" t="str">
        <x:f t="shared" si="45"/>
        <x:v>KEH-V-01</x:v>
      </x:c>
      <x:c r="R120" s="193">
        <x:f t="shared" si="47"/>
        <x:v>17.332717692440752</x:v>
      </x:c>
      <x:c r="S120" s="194">
        <x:f t="shared" si="48"/>
        <x:v>27.17270338417822</x:v>
      </x:c>
      <x:c r="T120" s="195">
        <x:f t="shared" si="49"/>
        <x:v>22.252710538309486</x:v>
      </x:c>
    </x:row>
    <x:row r="121" spans="1:20">
      <x:c r="A121" s="841" t="s">
        <x:v>476</x:v>
      </x:c>
      <x:c r="B121" s="92" t="str">
        <x:f>B118</x:f>
        <x:v>1층 1-12반</x:v>
      </x:c>
      <x:c r="C121" s="92" t="str">
        <x:f>C118</x:f>
        <x:v>13:12 ~ 14:12</x:v>
      </x:c>
      <x:c r="D121" s="110">
        <x:v>2</x:v>
      </x:c>
      <x:c r="E121" s="836">
        <x:f>'[2]분석결과시트'!$S$55</x:f>
        <x:v>3.209681993269129</x:v>
      </x:c>
      <x:c r="F121" s="836"/>
      <x:c r="G121" s="836">
        <x:f>'[2]분석결과시트'!$S$56</x:f>
        <x:v>5.2266940320574484</x:v>
      </x:c>
      <x:c r="H121" s="836"/>
      <x:c r="I121" s="163"/>
      <x:c r="J121" s="164"/>
      <x:c r="K121" s="163"/>
      <x:c r="L121" s="164"/>
      <x:c r="M121" s="163"/>
      <x:c r="N121" s="164"/>
      <x:c r="O121" s="165"/>
      <x:c r="P121" s="196"/>
      <x:c r="Q121" s="204" t="str">
        <x:f t="shared" si="45"/>
        <x:v>KEH-V-01</x:v>
      </x:c>
      <x:c r="R121" s="187">
        <x:f>MIN(E121:H121)</x:f>
        <x:v>3.209681993269129</x:v>
      </x:c>
      <x:c r="S121" s="188">
        <x:f>MAX(E121:H121)</x:f>
        <x:v>5.2266940320574484</x:v>
      </x:c>
      <x:c r="T121" s="189">
        <x:f>AVERAGE(E121:H121)</x:f>
        <x:v>4.2181880126632887</x:v>
      </x:c>
    </x:row>
    <x:row r="122" spans="1:20">
      <x:c r="A122" s="842"/>
      <x:c r="B122" s="88" t="str">
        <x:f t="shared" ref="B122:C122" si="51">B119</x:f>
        <x:v>2층 2-12반</x:v>
      </x:c>
      <x:c r="C122" s="88" t="str">
        <x:f t="shared" si="51"/>
        <x:v>14:05 ~ 15:05</x:v>
      </x:c>
      <x:c r="D122" s="110">
        <x:v>2</x:v>
      </x:c>
      <x:c r="E122" s="837">
        <x:f>'[2]분석결과시트'!$S$53</x:f>
        <x:v>2.8931103696728173</x:v>
      </x:c>
      <x:c r="F122" s="838"/>
      <x:c r="G122" s="837">
        <x:f>'[2]분석결과시트'!$S$54</x:f>
        <x:v>2.780353065279999</x:v>
      </x:c>
      <x:c r="H122" s="838"/>
      <x:c r="I122" s="163"/>
      <x:c r="J122" s="164"/>
      <x:c r="K122" s="163"/>
      <x:c r="L122" s="164"/>
      <x:c r="M122" s="163"/>
      <x:c r="N122" s="164"/>
      <x:c r="O122" s="165"/>
      <x:c r="P122" s="196"/>
      <x:c r="Q122" s="205" t="str">
        <x:f t="shared" si="45"/>
        <x:v>KEH-DU-01</x:v>
      </x:c>
      <x:c r="R122" s="190">
        <x:f t="shared" ref="R122:R123" si="52">MIN(E122:H122)</x:f>
        <x:v>2.780353065279999</x:v>
      </x:c>
      <x:c r="S122" s="191">
        <x:f t="shared" ref="S122:S123" si="53">MAX(E122:H122)</x:f>
        <x:v>2.8931103696728173</x:v>
      </x:c>
      <x:c r="T122" s="192">
        <x:f t="shared" ref="T122:T123" si="54">AVERAGE(E122:H122)</x:f>
        <x:v>2.8367317174764084</x:v>
      </x:c>
    </x:row>
    <x:row r="123" spans="1:20">
      <x:c r="A123" s="843"/>
      <x:c r="B123" s="90" t="str">
        <x:f t="shared" ref="B123:C123" si="55">B120</x:f>
        <x:v>1층 스포티존</x:v>
      </x:c>
      <x:c r="C123" s="90" t="str">
        <x:f t="shared" si="55"/>
        <x:v>13:00 ~ 14:00</x:v>
      </x:c>
      <x:c r="D123" s="110">
        <x:v>2</x:v>
      </x:c>
      <x:c r="E123" s="839">
        <x:f>'[2]분석결과시트'!$S$51</x:f>
        <x:v>5.393401591349658</x:v>
      </x:c>
      <x:c r="F123" s="840"/>
      <x:c r="G123" s="844">
        <x:f>'[2]분석결과시트'!$S$52</x:f>
        <x:v>3.8468345877681003</x:v>
      </x:c>
      <x:c r="H123" s="845"/>
      <x:c r="I123" s="163"/>
      <x:c r="J123" s="164"/>
      <x:c r="K123" s="163"/>
      <x:c r="L123" s="164"/>
      <x:c r="M123" s="163"/>
      <x:c r="N123" s="164"/>
      <x:c r="O123" s="165"/>
      <x:c r="P123" s="196"/>
      <x:c r="Q123" s="206" t="str">
        <x:f t="shared" si="45"/>
        <x:v>KEH-V-01</x:v>
      </x:c>
      <x:c r="R123" s="193">
        <x:f t="shared" si="52"/>
        <x:v>3.8468345877681003</x:v>
      </x:c>
      <x:c r="S123" s="194">
        <x:f t="shared" si="53"/>
        <x:v>5.393401591349658</x:v>
      </x:c>
      <x:c r="T123" s="195">
        <x:f t="shared" si="54"/>
        <x:v>4.6201180895588791</x:v>
      </x:c>
    </x:row>
    <x:row r="124" spans="1:20">
      <x:c r="A124" s="841" t="s">
        <x:v>454</x:v>
      </x:c>
      <x:c r="B124" s="92" t="str">
        <x:f>B121</x:f>
        <x:v>1층 1-12반</x:v>
      </x:c>
      <x:c r="C124" s="92" t="str">
        <x:f>C121</x:f>
        <x:v>13:12 ~ 14:12</x:v>
      </x:c>
      <x:c r="D124" s="89">
        <x:v>2</x:v>
      </x:c>
      <x:c r="E124" s="836">
        <x:f>'[2]분석결과시트'!$N$55</x:f>
        <x:v>10.445622820514615</x:v>
      </x:c>
      <x:c r="F124" s="836"/>
      <x:c r="G124" s="836">
        <x:f>'[2]분석결과시트'!$N$56</x:f>
        <x:v>12.927162419312991</x:v>
      </x:c>
      <x:c r="H124" s="836"/>
      <x:c r="I124" s="808"/>
      <x:c r="J124" s="808"/>
      <x:c r="K124" s="808"/>
      <x:c r="L124" s="808"/>
      <x:c r="M124" s="808"/>
      <x:c r="N124" s="808"/>
      <x:c r="O124" s="157"/>
      <x:c r="P124" s="312"/>
      <x:c r="Q124" s="204" t="str">
        <x:f t="shared" si="45"/>
        <x:v>KEH-V-01</x:v>
      </x:c>
      <x:c r="R124" s="187">
        <x:f>MIN(E124:H124)</x:f>
        <x:v>10.445622820514615</x:v>
      </x:c>
      <x:c r="S124" s="188">
        <x:f>MAX(E124:H124)</x:f>
        <x:v>12.927162419312991</x:v>
      </x:c>
      <x:c r="T124" s="189">
        <x:f>AVERAGE(E124:H124)</x:f>
        <x:v>11.686392619913804</x:v>
      </x:c>
    </x:row>
    <x:row r="125" spans="1:20">
      <x:c r="A125" s="842"/>
      <x:c r="B125" s="88" t="str">
        <x:f t="shared" ref="B125:C125" si="56">B122</x:f>
        <x:v>2층 2-12반</x:v>
      </x:c>
      <x:c r="C125" s="88" t="str">
        <x:f t="shared" si="56"/>
        <x:v>14:05 ~ 15:05</x:v>
      </x:c>
      <x:c r="D125" s="88">
        <x:v>2</x:v>
      </x:c>
      <x:c r="E125" s="837">
        <x:f>'[2]분석결과시트'!$N$53</x:f>
        <x:v>7.5893834290400202</x:v>
      </x:c>
      <x:c r="F125" s="838"/>
      <x:c r="G125" s="837">
        <x:f>'[2]분석결과시트'!$N$54</x:f>
        <x:v>7.8424756427226354</x:v>
      </x:c>
      <x:c r="H125" s="838"/>
      <x:c r="I125" s="796"/>
      <x:c r="J125" s="797"/>
      <x:c r="K125" s="796"/>
      <x:c r="L125" s="797"/>
      <x:c r="M125" s="796"/>
      <x:c r="N125" s="797"/>
      <x:c r="O125" s="162"/>
      <x:c r="P125" s="313"/>
      <x:c r="Q125" s="205" t="str">
        <x:f t="shared" si="45"/>
        <x:v>KEH-DU-01</x:v>
      </x:c>
      <x:c r="R125" s="190">
        <x:f t="shared" ref="R125:R126" si="57">MIN(E125:H125)</x:f>
        <x:v>7.5893834290400202</x:v>
      </x:c>
      <x:c r="S125" s="191">
        <x:f t="shared" ref="S125:S126" si="58">MAX(E125:H125)</x:f>
        <x:v>7.8424756427226354</x:v>
      </x:c>
      <x:c r="T125" s="192">
        <x:f t="shared" ref="T125:T126" si="59">AVERAGE(E125:H125)</x:f>
        <x:v>7.7159295358813278</x:v>
      </x:c>
    </x:row>
    <x:row r="126" spans="1:20">
      <x:c r="A126" s="843"/>
      <x:c r="B126" s="90" t="str">
        <x:f t="shared" ref="B126:C126" si="60">B123</x:f>
        <x:v>1층 스포티존</x:v>
      </x:c>
      <x:c r="C126" s="90" t="str">
        <x:f t="shared" si="60"/>
        <x:v>13:00 ~ 14:00</x:v>
      </x:c>
      <x:c r="D126" s="90">
        <x:v>2</x:v>
      </x:c>
      <x:c r="E126" s="839">
        <x:f>'[2]분석결과시트'!$N$51</x:f>
        <x:v>20.658002632658775</x:v>
      </x:c>
      <x:c r="F126" s="840"/>
      <x:c r="G126" s="839">
        <x:f>'[2]분석결과시트'!$N$52</x:f>
        <x:v>18.671660841084371</x:v>
      </x:c>
      <x:c r="H126" s="840"/>
      <x:c r="I126" s="168"/>
      <x:c r="J126" s="169"/>
      <x:c r="K126" s="168"/>
      <x:c r="L126" s="169"/>
      <x:c r="M126" s="168"/>
      <x:c r="N126" s="169"/>
      <x:c r="O126" s="170"/>
      <x:c r="P126" s="196"/>
      <x:c r="Q126" s="206" t="str">
        <x:f t="shared" si="45"/>
        <x:v>KEH-V-01</x:v>
      </x:c>
      <x:c r="R126" s="193">
        <x:f t="shared" si="57"/>
        <x:v>18.671660841084371</x:v>
      </x:c>
      <x:c r="S126" s="194">
        <x:f t="shared" si="58"/>
        <x:v>20.658002632658775</x:v>
      </x:c>
      <x:c r="T126" s="195">
        <x:f t="shared" si="59"/>
        <x:v>19.664831736871573</x:v>
      </x:c>
    </x:row>
    <x:row r="127" spans="1:20">
      <x:c r="A127" s="841" t="s">
        <x:v>439</x:v>
      </x:c>
      <x:c r="B127" s="92" t="str">
        <x:f>B124</x:f>
        <x:v>1층 1-12반</x:v>
      </x:c>
      <x:c r="C127" s="92" t="str">
        <x:f>C124</x:f>
        <x:v>13:12 ~ 14:12</x:v>
      </x:c>
      <x:c r="D127" s="89">
        <x:v>2</x:v>
      </x:c>
      <x:c r="E127" s="836">
        <x:f>'[2]분석결과시트'!$X$14</x:f>
        <x:v>6.5804780239227458</x:v>
      </x:c>
      <x:c r="F127" s="836"/>
      <x:c r="G127" s="836">
        <x:f>'[2]분석결과시트'!$X$15</x:f>
        <x:v>9.7124184541498693</x:v>
      </x:c>
      <x:c r="H127" s="836"/>
      <x:c r="I127" s="808"/>
      <x:c r="J127" s="808"/>
      <x:c r="K127" s="808"/>
      <x:c r="L127" s="808"/>
      <x:c r="M127" s="808"/>
      <x:c r="N127" s="808"/>
      <x:c r="O127" s="157"/>
      <x:c r="P127" s="312"/>
      <x:c r="Q127" s="204" t="str">
        <x:f t="shared" si="45"/>
        <x:v>KEH-V-01</x:v>
      </x:c>
      <x:c r="R127" s="187">
        <x:f>MIN(E127:H127)</x:f>
        <x:v>6.5804780239227458</x:v>
      </x:c>
      <x:c r="S127" s="188">
        <x:f>MAX(E127:H127)</x:f>
        <x:v>9.7124184541498693</x:v>
      </x:c>
      <x:c r="T127" s="189">
        <x:f>AVERAGE(E127:H127)</x:f>
        <x:v>8.1464482390363067</x:v>
      </x:c>
    </x:row>
    <x:row r="128" spans="1:20">
      <x:c r="A128" s="842"/>
      <x:c r="B128" s="88" t="str">
        <x:f t="shared" ref="B128:C128" si="61">B125</x:f>
        <x:v>2층 2-12반</x:v>
      </x:c>
      <x:c r="C128" s="88" t="str">
        <x:f t="shared" si="61"/>
        <x:v>14:05 ~ 15:05</x:v>
      </x:c>
      <x:c r="D128" s="88">
        <x:v>2</x:v>
      </x:c>
      <x:c r="E128" s="837">
        <x:f>'[2]분석결과시트'!$X$12</x:f>
        <x:v>6.838889008883589</x:v>
      </x:c>
      <x:c r="F128" s="838"/>
      <x:c r="G128" s="837">
        <x:f>'[2]분석결과시트'!$X$13</x:f>
        <x:v>6.062206451351539</x:v>
      </x:c>
      <x:c r="H128" s="838"/>
      <x:c r="I128" s="796"/>
      <x:c r="J128" s="797"/>
      <x:c r="K128" s="796"/>
      <x:c r="L128" s="797"/>
      <x:c r="M128" s="796"/>
      <x:c r="N128" s="797"/>
      <x:c r="O128" s="162"/>
      <x:c r="P128" s="313"/>
      <x:c r="Q128" s="205" t="str">
        <x:f t="shared" si="45"/>
        <x:v>KEH-DU-01</x:v>
      </x:c>
      <x:c r="R128" s="190">
        <x:f t="shared" ref="R128:R129" si="62">MIN(E128:H128)</x:f>
        <x:v>6.062206451351539</x:v>
      </x:c>
      <x:c r="S128" s="191">
        <x:f t="shared" ref="S128:S129" si="63">MAX(E128:H128)</x:f>
        <x:v>6.838889008883589</x:v>
      </x:c>
      <x:c r="T128" s="192">
        <x:f t="shared" ref="T128:T129" si="64">AVERAGE(E128:H128)</x:f>
        <x:v>6.450547730117564</x:v>
      </x:c>
    </x:row>
    <x:row r="129" spans="1:20" ht="16.649999999999999" customHeight="1">
      <x:c r="A129" s="843"/>
      <x:c r="B129" s="90" t="str">
        <x:f t="shared" ref="B129:C129" si="65">B126</x:f>
        <x:v>1층 스포티존</x:v>
      </x:c>
      <x:c r="C129" s="90" t="str">
        <x:f t="shared" si="65"/>
        <x:v>13:00 ~ 14:00</x:v>
      </x:c>
      <x:c r="D129" s="90">
        <x:v>2</x:v>
      </x:c>
      <x:c r="E129" s="839">
        <x:f>'[2]분석결과시트'!$X$10</x:f>
        <x:v>12.599521994407901</x:v>
      </x:c>
      <x:c r="F129" s="840"/>
      <x:c r="G129" s="839">
        <x:f>'[2]분석결과시트'!$X$11</x:f>
        <x:v>7.8918895662732664</x:v>
      </x:c>
      <x:c r="H129" s="840"/>
      <x:c r="I129" s="168"/>
      <x:c r="J129" s="169"/>
      <x:c r="K129" s="168"/>
      <x:c r="L129" s="169"/>
      <x:c r="M129" s="168"/>
      <x:c r="N129" s="169"/>
      <x:c r="O129" s="170"/>
      <x:c r="P129" s="196"/>
      <x:c r="Q129" s="206" t="str">
        <x:f t="shared" si="45"/>
        <x:v>KEH-V-01</x:v>
      </x:c>
      <x:c r="R129" s="193">
        <x:f t="shared" si="62"/>
        <x:v>7.8918895662732664</x:v>
      </x:c>
      <x:c r="S129" s="194">
        <x:f t="shared" si="63"/>
        <x:v>12.599521994407901</x:v>
      </x:c>
      <x:c r="T129" s="195">
        <x:f t="shared" si="64"/>
        <x:v>10.245705780340584</x:v>
      </x:c>
    </x:row>
    <x:row r="130" spans="1:20">
      <x:c r="A130" s="841" t="s">
        <x:v>444</x:v>
      </x:c>
      <x:c r="B130" s="92" t="str">
        <x:f>B127</x:f>
        <x:v>1층 1-12반</x:v>
      </x:c>
      <x:c r="C130" s="92" t="str">
        <x:f>C127</x:f>
        <x:v>13:12 ~ 14:12</x:v>
      </x:c>
      <x:c r="D130" s="89">
        <x:v>2</x:v>
      </x:c>
      <x:c r="E130" s="836">
        <x:f>'[2]분석결과시트'!$AH$55</x:f>
        <x:v>0.94087966173324877</x:v>
      </x:c>
      <x:c r="F130" s="836"/>
      <x:c r="G130" s="836">
        <x:f>'[2]분석결과시트'!$AH$56</x:f>
        <x:v>1.4751260030720252</x:v>
      </x:c>
      <x:c r="H130" s="836"/>
      <x:c r="I130" s="808"/>
      <x:c r="J130" s="808"/>
      <x:c r="K130" s="808"/>
      <x:c r="L130" s="808"/>
      <x:c r="M130" s="808"/>
      <x:c r="N130" s="808"/>
      <x:c r="O130" s="157"/>
      <x:c r="P130" s="312"/>
      <x:c r="Q130" s="204" t="str">
        <x:f t="shared" si="45"/>
        <x:v>KEH-V-01</x:v>
      </x:c>
      <x:c r="R130" s="187">
        <x:f>MIN(E130:H130)</x:f>
        <x:v>0.94087966173324877</x:v>
      </x:c>
      <x:c r="S130" s="188">
        <x:f>MAX(E130:H130)</x:f>
        <x:v>1.4751260030720252</x:v>
      </x:c>
      <x:c r="T130" s="189">
        <x:f>AVERAGE(E130:H130)</x:f>
        <x:v>1.2080028324026371</x:v>
      </x:c>
    </x:row>
    <x:row r="131" spans="1:20">
      <x:c r="A131" s="842"/>
      <x:c r="B131" s="88" t="str">
        <x:f t="shared" ref="B131:C131" si="66">B128</x:f>
        <x:v>2층 2-12반</x:v>
      </x:c>
      <x:c r="C131" s="88" t="str">
        <x:f t="shared" si="66"/>
        <x:v>14:05 ~ 15:05</x:v>
      </x:c>
      <x:c r="D131" s="88">
        <x:v>2</x:v>
      </x:c>
      <x:c r="E131" s="837">
        <x:f>'[2]분석결과시트'!$AH$53</x:f>
        <x:v>0.49660870559804471</x:v>
      </x:c>
      <x:c r="F131" s="838"/>
      <x:c r="G131" s="837">
        <x:f>'[2]분석결과시트'!$AH$54</x:f>
        <x:v>1.0224146867263504</x:v>
      </x:c>
      <x:c r="H131" s="838"/>
      <x:c r="I131" s="796"/>
      <x:c r="J131" s="797"/>
      <x:c r="K131" s="796"/>
      <x:c r="L131" s="797"/>
      <x:c r="M131" s="796"/>
      <x:c r="N131" s="797"/>
      <x:c r="O131" s="162"/>
      <x:c r="P131" s="313"/>
      <x:c r="Q131" s="205" t="str">
        <x:f t="shared" si="45"/>
        <x:v>KEH-DU-01</x:v>
      </x:c>
      <x:c r="R131" s="190">
        <x:f t="shared" ref="R131:R132" si="67">MIN(E131:H131)</x:f>
        <x:v>0.49660870559804471</x:v>
      </x:c>
      <x:c r="S131" s="191">
        <x:f t="shared" ref="S131:S132" si="68">MAX(E131:H131)</x:f>
        <x:v>1.0224146867263504</x:v>
      </x:c>
      <x:c r="T131" s="192">
        <x:f t="shared" ref="T131:T132" si="69">AVERAGE(E131:H131)</x:f>
        <x:v>0.75951169616219749</x:v>
      </x:c>
    </x:row>
    <x:row r="132" spans="1:20">
      <x:c r="A132" s="843"/>
      <x:c r="B132" s="90" t="str">
        <x:f t="shared" ref="B132:C132" si="70">B129</x:f>
        <x:v>1층 스포티존</x:v>
      </x:c>
      <x:c r="C132" s="90" t="str">
        <x:f t="shared" si="70"/>
        <x:v>13:00 ~ 14:00</x:v>
      </x:c>
      <x:c r="D132" s="90">
        <x:v>2</x:v>
      </x:c>
      <x:c r="E132" s="839">
        <x:f>'[2]분석결과시트'!$AH$51</x:f>
        <x:v>1.0812463118396591</x:v>
      </x:c>
      <x:c r="F132" s="840"/>
      <x:c r="G132" s="839">
        <x:f>'[2]분석결과시트'!$AH$52</x:f>
        <x:v>0.85996291814298997</x:v>
      </x:c>
      <x:c r="H132" s="840"/>
      <x:c r="I132" s="168"/>
      <x:c r="J132" s="169"/>
      <x:c r="K132" s="168"/>
      <x:c r="L132" s="169"/>
      <x:c r="M132" s="168"/>
      <x:c r="N132" s="169"/>
      <x:c r="O132" s="170"/>
      <x:c r="P132" s="196"/>
      <x:c r="Q132" s="206" t="str">
        <x:f t="shared" si="45"/>
        <x:v>KEH-V-01</x:v>
      </x:c>
      <x:c r="R132" s="193">
        <x:f t="shared" si="67"/>
        <x:v>0.85996291814298997</x:v>
      </x:c>
      <x:c r="S132" s="194">
        <x:f t="shared" si="68"/>
        <x:v>1.0812463118396591</x:v>
      </x:c>
      <x:c r="T132" s="195">
        <x:f t="shared" si="69"/>
        <x:v>0.97060461499132455</x:v>
      </x:c>
    </x:row>
    <x:row r="133" spans="2:20">
      <x:c r="B133" s="197"/>
      <x:c r="C133" s="197"/>
      <x:c r="D133" s="197"/>
      <x:c r="E133" s="197"/>
      <x:c r="F133" s="197"/>
      <x:c r="G133" s="196"/>
      <x:c r="H133" s="196"/>
      <x:c r="I133" s="196"/>
      <x:c r="J133" s="196"/>
      <x:c r="K133" s="196"/>
      <x:c r="L133" s="196"/>
      <x:c r="M133" s="196"/>
      <x:c r="N133" s="196"/>
      <x:c r="O133" s="196"/>
      <x:c r="P133" s="196"/>
      <x:c r="Q133" s="197"/>
      <x:c r="R133" s="196"/>
      <x:c r="S133" s="196"/>
      <x:c r="T133" s="196"/>
    </x:row>
    <x:row r="134" spans="1:20" ht="26.399999999999999">
      <x:c r="A134" s="198" t="s">
        <x:v>276</x:v>
      </x:c>
      <x:c r="B134" s="340" t="s">
        <x:v>102</x:v>
      </x:c>
      <x:c r="C134" s="199" t="s">
        <x:v>518</x:v>
      </x:c>
      <x:c r="D134" s="199" t="s">
        <x:v>97</x:v>
      </x:c>
      <x:c r="E134" s="337" t="s">
        <x:v>112</x:v>
      </x:c>
      <x:c r="F134" s="338" t="s">
        <x:v>223</x:v>
      </x:c>
      <x:c r="G134" s="200"/>
      <x:c r="H134" s="196"/>
      <x:c r="I134" s="196"/>
      <x:c r="J134" s="196"/>
      <x:c r="K134" s="196"/>
      <x:c r="L134" s="196"/>
      <x:c r="M134" s="196"/>
      <x:c r="N134" s="196"/>
      <x:c r="O134" s="196" t="s">
        <x:v>231</x:v>
      </x:c>
      <x:c r="P134" s="196"/>
      <x:c r="Q134" s="197"/>
      <x:c r="R134" s="196"/>
      <x:c r="S134" s="196"/>
      <x:c r="T134" s="196"/>
    </x:row>
    <x:row r="135" spans="1:20">
      <x:c r="A135" s="91" t="str">
        <x:f>B33</x:f>
        <x:v>5층 2-11반</x:v>
      </x:c>
      <x:c r="B135" s="341">
        <x:f>E135*100/(C135-D135)</x:f>
        <x:v>57.04407951598963</x:v>
      </x:c>
      <x:c r="C135" s="203">
        <x:f>T33/10000</x:f>
        <x:v>0.081466666666666659</x:v>
      </x:c>
      <x:c r="D135" s="203">
        <x:f>'입력1(학교시설명 등 기본사항 입력) 보고서1,2'!$G$17/10000</x:f>
        <x:v>0.042899999999999999</x:v>
      </x:c>
      <x:c r="E135" s="339">
        <x:v>0.021999999999999997</x:v>
      </x:c>
      <x:c r="F135" s="846" t="s">
        <x:v>382</x:v>
      </x:c>
      <x:c r="G135" s="846"/>
      <x:c r="H135" s="201">
        <x:v>0.010999999999999999</x:v>
      </x:c>
      <x:c r="I135" s="196"/>
      <x:c r="J135" s="196"/>
      <x:c r="K135" s="196"/>
      <x:c r="L135" s="196"/>
      <x:c r="M135" s="196"/>
      <x:c r="N135" s="196"/>
      <x:c r="O135" s="196"/>
      <x:c r="P135" s="196"/>
      <x:c r="Q135" s="197"/>
      <x:c r="R135" s="196"/>
      <x:c r="S135" s="196"/>
      <x:c r="T135" s="196"/>
    </x:row>
    <x:row r="136" spans="1:20">
      <x:c r="A136" s="91" t="str">
        <x:f t="shared" ref="A136:A137" si="71">B34</x:f>
        <x:v>4층 2-4반</x:v>
      </x:c>
      <x:c r="B136" s="341">
        <x:f t="shared" ref="B136:B138" si="72">E136*100/(C136-D136)</x:f>
        <x:v>57.996485061511407</x:v>
      </x:c>
      <x:c r="C136" s="203">
        <x:f t="shared" ref="C136:C138" si="73">T34/10000</x:f>
        <x:v>0.08083333333333334</x:v>
      </x:c>
      <x:c r="D136" s="203">
        <x:f>'입력1(학교시설명 등 기본사항 입력) 보고서1,2'!$G$17/10000</x:f>
        <x:v>0.042899999999999999</x:v>
      </x:c>
      <x:c r="E136" s="339">
        <x:v>0.021999999999999997</x:v>
      </x:c>
      <x:c r="F136" s="846" t="s">
        <x:v>388</x:v>
      </x:c>
      <x:c r="G136" s="846"/>
      <x:c r="H136" s="201">
        <x:v>0.016</x:v>
      </x:c>
      <x:c r="I136" s="196"/>
      <x:c r="J136" s="196"/>
      <x:c r="K136" s="196"/>
      <x:c r="L136" s="196"/>
      <x:c r="M136" s="196"/>
      <x:c r="N136" s="196"/>
      <x:c r="O136" s="196"/>
      <x:c r="P136" s="196"/>
      <x:c r="Q136" s="197"/>
      <x:c r="R136" s="196"/>
      <x:c r="S136" s="196"/>
      <x:c r="T136" s="196"/>
    </x:row>
    <x:row r="137" spans="1:20" ht="26.399999999999999">
      <x:c r="A137" s="91" t="str">
        <x:f t="shared" si="71"/>
        <x:v>1층 (도제)회계실무실습실</x:v>
      </x:c>
      <x:c r="B137" s="341">
        <x:f t="shared" si="72"/>
        <x:v>70.739549839228303</x:v>
      </x:c>
      <x:c r="C137" s="203">
        <x:f t="shared" si="73"/>
        <x:v>0.073999999999999999</x:v>
      </x:c>
      <x:c r="D137" s="203">
        <x:f>'입력1(학교시설명 등 기본사항 입력) 보고서1,2'!$G$17/10000</x:f>
        <x:v>0.042899999999999999</x:v>
      </x:c>
      <x:c r="E137" s="339">
        <x:v>0.021999999999999997</x:v>
      </x:c>
      <x:c r="F137" s="846" t="s">
        <x:v>150</x:v>
      </x:c>
      <x:c r="G137" s="846"/>
      <x:c r="H137" s="201">
        <x:v>0.021999999999999997</x:v>
      </x:c>
      <x:c r="I137" s="196"/>
      <x:c r="J137" s="196"/>
      <x:c r="K137" s="196"/>
      <x:c r="L137" s="196"/>
      <x:c r="M137" s="196"/>
      <x:c r="N137" s="196"/>
      <x:c r="O137" s="196"/>
      <x:c r="P137" s="196"/>
      <x:c r="Q137" s="197"/>
      <x:c r="R137" s="196"/>
      <x:c r="S137" s="196"/>
      <x:c r="T137" s="196"/>
    </x:row>
    <x:row r="138" spans="1:20">
      <x:c r="A138" s="457">
        <x:f>B36</x:f>
        <x:v>0</x:v>
      </x:c>
      <x:c r="B138" s="458" t="e">
        <x:f t="shared" si="72"/>
        <x:v>#DIV/0!</x:v>
      </x:c>
      <x:c r="C138" s="459" t="e">
        <x:f t="shared" si="73"/>
        <x:v>#DIV/0!</x:v>
      </x:c>
      <x:c r="D138" s="459">
        <x:f>'입력1(학교시설명 등 기본사항 입력) 보고서1,2'!$G$17/10000</x:f>
        <x:v>0.042899999999999999</x:v>
      </x:c>
      <x:c r="E138" s="460">
        <x:v>0.010999999999999999</x:v>
      </x:c>
      <x:c r="F138" s="375" t="s">
        <x:v>137</x:v>
      </x:c>
      <x:c r="G138" s="196"/>
      <x:c r="H138" s="196"/>
      <x:c r="I138" s="196"/>
      <x:c r="J138" s="196"/>
      <x:c r="K138" s="196"/>
      <x:c r="L138" s="196"/>
      <x:c r="M138" s="196"/>
      <x:c r="N138" s="196"/>
      <x:c r="O138" s="196"/>
      <x:c r="P138" s="196"/>
      <x:c r="Q138" s="197"/>
      <x:c r="R138" s="196"/>
      <x:c r="S138" s="196"/>
      <x:c r="T138" s="196"/>
    </x:row>
    <x:row r="139" spans="2:20">
      <x:c r="B139" s="197"/>
      <x:c r="C139" s="197"/>
      <x:c r="D139" s="197"/>
      <x:c r="E139" s="197"/>
      <x:c r="F139" s="197"/>
      <x:c r="G139" s="196"/>
      <x:c r="H139" s="196"/>
      <x:c r="I139" s="196"/>
      <x:c r="J139" s="196"/>
      <x:c r="K139" s="196"/>
      <x:c r="L139" s="196"/>
      <x:c r="M139" s="196"/>
      <x:c r="N139" s="196"/>
      <x:c r="O139" s="196"/>
      <x:c r="P139" s="196"/>
      <x:c r="Q139" s="197"/>
      <x:c r="R139" s="196"/>
      <x:c r="S139" s="196"/>
      <x:c r="T139" s="196"/>
    </x:row>
    <x:row r="140" spans="2:20">
      <x:c r="B140" s="197"/>
      <x:c r="C140" s="197"/>
      <x:c r="D140" s="197"/>
      <x:c r="E140" s="197"/>
      <x:c r="F140" s="197"/>
      <x:c r="G140" s="196"/>
      <x:c r="H140" s="196"/>
      <x:c r="I140" s="196"/>
      <x:c r="J140" s="196"/>
      <x:c r="K140" s="196"/>
      <x:c r="L140" s="196"/>
      <x:c r="M140" s="196"/>
      <x:c r="N140" s="196"/>
      <x:c r="O140" s="196"/>
      <x:c r="P140" s="196"/>
      <x:c r="Q140" s="197"/>
      <x:c r="R140" s="196"/>
      <x:c r="S140" s="196"/>
      <x:c r="T140" s="196"/>
    </x:row>
    <x:row r="141" spans="2:20">
      <x:c r="B141" s="197"/>
      <x:c r="C141" s="197"/>
      <x:c r="D141" s="197"/>
      <x:c r="E141" s="197"/>
      <x:c r="F141" s="197"/>
      <x:c r="G141" s="196"/>
      <x:c r="H141" s="196"/>
      <x:c r="I141" s="196"/>
      <x:c r="J141" s="196"/>
      <x:c r="K141" s="196"/>
      <x:c r="L141" s="196"/>
      <x:c r="M141" s="196"/>
      <x:c r="N141" s="196"/>
      <x:c r="O141" s="196"/>
      <x:c r="P141" s="196"/>
      <x:c r="Q141" s="197"/>
      <x:c r="R141" s="196"/>
      <x:c r="S141" s="196"/>
      <x:c r="T141" s="196"/>
    </x:row>
    <x:row r="142" spans="2:20">
      <x:c r="B142" s="197"/>
      <x:c r="C142" s="197"/>
      <x:c r="D142" s="197"/>
      <x:c r="E142" s="197"/>
      <x:c r="F142" s="197"/>
      <x:c r="G142" s="196"/>
      <x:c r="H142" s="196"/>
      <x:c r="I142" s="196"/>
      <x:c r="J142" s="196"/>
      <x:c r="K142" s="196"/>
      <x:c r="L142" s="196"/>
      <x:c r="M142" s="196"/>
      <x:c r="N142" s="196"/>
      <x:c r="O142" s="196"/>
      <x:c r="P142" s="196"/>
      <x:c r="Q142" s="197"/>
      <x:c r="R142" s="196"/>
      <x:c r="S142" s="196"/>
      <x:c r="T142" s="196"/>
    </x:row>
    <x:row r="143" spans="2:20">
      <x:c r="B143" s="197"/>
      <x:c r="C143" s="197"/>
      <x:c r="D143" s="197"/>
      <x:c r="E143" s="197"/>
      <x:c r="F143" s="197"/>
      <x:c r="G143" s="196"/>
      <x:c r="H143" s="196"/>
      <x:c r="I143" s="196"/>
      <x:c r="J143" s="196"/>
      <x:c r="K143" s="196"/>
      <x:c r="L143" s="196"/>
      <x:c r="M143" s="196"/>
      <x:c r="N143" s="196"/>
      <x:c r="O143" s="196"/>
      <x:c r="P143" s="196"/>
      <x:c r="Q143" s="197"/>
      <x:c r="R143" s="196"/>
      <x:c r="S143" s="196"/>
      <x:c r="T143" s="196"/>
    </x:row>
    <x:row r="144" spans="2:20">
      <x:c r="B144" s="197"/>
      <x:c r="C144" s="197"/>
      <x:c r="D144" s="197"/>
      <x:c r="E144" s="197"/>
      <x:c r="F144" s="197"/>
      <x:c r="G144" s="196"/>
      <x:c r="H144" s="196"/>
      <x:c r="I144" s="196"/>
      <x:c r="J144" s="196"/>
      <x:c r="K144" s="196"/>
      <x:c r="L144" s="196"/>
      <x:c r="M144" s="196"/>
      <x:c r="N144" s="196"/>
      <x:c r="O144" s="196"/>
      <x:c r="P144" s="196"/>
      <x:c r="Q144" s="197"/>
      <x:c r="R144" s="196"/>
      <x:c r="S144" s="196"/>
      <x:c r="T144" s="196"/>
    </x:row>
    <x:row r="145" spans="2:20">
      <x:c r="B145" s="197"/>
      <x:c r="C145" s="197"/>
      <x:c r="D145" s="197"/>
      <x:c r="E145" s="197"/>
      <x:c r="F145" s="197"/>
      <x:c r="G145" s="196"/>
      <x:c r="H145" s="196"/>
      <x:c r="I145" s="196"/>
      <x:c r="J145" s="196"/>
      <x:c r="K145" s="196"/>
      <x:c r="L145" s="196"/>
      <x:c r="M145" s="196"/>
      <x:c r="N145" s="196"/>
      <x:c r="O145" s="196"/>
      <x:c r="P145" s="196"/>
      <x:c r="Q145" s="197"/>
      <x:c r="R145" s="196"/>
      <x:c r="S145" s="196"/>
      <x:c r="T145" s="196"/>
    </x:row>
    <x:row r="146" spans="2:20">
      <x:c r="B146" s="197"/>
      <x:c r="C146" s="197"/>
      <x:c r="D146" s="197"/>
      <x:c r="E146" s="197"/>
      <x:c r="F146" s="197"/>
      <x:c r="G146" s="196"/>
      <x:c r="H146" s="196"/>
      <x:c r="I146" s="196"/>
      <x:c r="J146" s="196"/>
      <x:c r="K146" s="196"/>
      <x:c r="L146" s="196"/>
      <x:c r="M146" s="196"/>
      <x:c r="N146" s="196"/>
      <x:c r="O146" s="196"/>
      <x:c r="P146" s="196"/>
      <x:c r="Q146" s="197"/>
      <x:c r="R146" s="196"/>
      <x:c r="S146" s="196"/>
      <x:c r="T146" s="196"/>
    </x:row>
    <x:row r="147" spans="2:20">
      <x:c r="B147" s="197"/>
      <x:c r="C147" s="197"/>
      <x:c r="D147" s="197"/>
      <x:c r="E147" s="197"/>
      <x:c r="F147" s="197"/>
      <x:c r="G147" s="196"/>
      <x:c r="H147" s="196"/>
      <x:c r="I147" s="196"/>
      <x:c r="J147" s="196"/>
      <x:c r="K147" s="196"/>
      <x:c r="L147" s="196"/>
      <x:c r="M147" s="196"/>
      <x:c r="N147" s="196"/>
      <x:c r="O147" s="196"/>
      <x:c r="P147" s="196"/>
      <x:c r="Q147" s="197"/>
      <x:c r="R147" s="196"/>
      <x:c r="S147" s="196"/>
      <x:c r="T147" s="196"/>
    </x:row>
    <x:row r="148" spans="2:20">
      <x:c r="B148" s="197"/>
      <x:c r="C148" s="197"/>
      <x:c r="D148" s="197"/>
      <x:c r="E148" s="197"/>
      <x:c r="F148" s="197"/>
      <x:c r="G148" s="196"/>
      <x:c r="H148" s="196"/>
      <x:c r="I148" s="196"/>
      <x:c r="J148" s="196"/>
      <x:c r="K148" s="196"/>
      <x:c r="L148" s="196"/>
      <x:c r="M148" s="196"/>
      <x:c r="N148" s="196"/>
      <x:c r="O148" s="196"/>
      <x:c r="P148" s="196"/>
      <x:c r="Q148" s="197"/>
      <x:c r="R148" s="196"/>
      <x:c r="S148" s="196"/>
      <x:c r="T148" s="196"/>
    </x:row>
    <x:row r="149" spans="2:20">
      <x:c r="B149" s="197"/>
      <x:c r="C149" s="197"/>
      <x:c r="D149" s="197"/>
      <x:c r="E149" s="197"/>
      <x:c r="F149" s="197"/>
      <x:c r="G149" s="196"/>
      <x:c r="H149" s="196"/>
      <x:c r="I149" s="196"/>
      <x:c r="J149" s="196"/>
      <x:c r="K149" s="196"/>
      <x:c r="L149" s="196"/>
      <x:c r="M149" s="196"/>
      <x:c r="N149" s="196"/>
      <x:c r="O149" s="196"/>
      <x:c r="P149" s="196"/>
      <x:c r="Q149" s="197"/>
      <x:c r="R149" s="196"/>
      <x:c r="S149" s="196"/>
      <x:c r="T149" s="196"/>
    </x:row>
    <x:row r="150" spans="2:20">
      <x:c r="B150" s="197"/>
      <x:c r="C150" s="197"/>
      <x:c r="D150" s="197"/>
      <x:c r="E150" s="197"/>
      <x:c r="F150" s="197"/>
      <x:c r="G150" s="196"/>
      <x:c r="H150" s="196"/>
      <x:c r="I150" s="196"/>
      <x:c r="J150" s="196"/>
      <x:c r="K150" s="196"/>
      <x:c r="L150" s="196"/>
      <x:c r="M150" s="196"/>
      <x:c r="N150" s="196"/>
      <x:c r="O150" s="196"/>
      <x:c r="P150" s="196"/>
      <x:c r="Q150" s="197"/>
      <x:c r="R150" s="196"/>
      <x:c r="S150" s="196"/>
      <x:c r="T150" s="196"/>
    </x:row>
    <x:row r="151" spans="2:20">
      <x:c r="B151" s="197"/>
      <x:c r="C151" s="197"/>
      <x:c r="D151" s="197"/>
      <x:c r="E151" s="197"/>
      <x:c r="F151" s="197"/>
      <x:c r="G151" s="196"/>
      <x:c r="H151" s="196"/>
      <x:c r="I151" s="196"/>
      <x:c r="J151" s="196"/>
      <x:c r="K151" s="196"/>
      <x:c r="L151" s="196"/>
      <x:c r="M151" s="196"/>
      <x:c r="N151" s="196"/>
      <x:c r="O151" s="196"/>
      <x:c r="P151" s="196"/>
      <x:c r="Q151" s="197"/>
      <x:c r="R151" s="196"/>
      <x:c r="S151" s="196"/>
      <x:c r="T151" s="196"/>
    </x:row>
    <x:row r="152" spans="2:20">
      <x:c r="B152" s="197"/>
      <x:c r="C152" s="197"/>
      <x:c r="D152" s="197"/>
      <x:c r="E152" s="197"/>
      <x:c r="F152" s="197"/>
      <x:c r="G152" s="196"/>
      <x:c r="H152" s="196"/>
      <x:c r="I152" s="196"/>
      <x:c r="J152" s="196"/>
      <x:c r="K152" s="196"/>
      <x:c r="L152" s="196"/>
      <x:c r="M152" s="196"/>
      <x:c r="N152" s="196"/>
      <x:c r="O152" s="196"/>
      <x:c r="P152" s="196"/>
      <x:c r="Q152" s="197"/>
      <x:c r="R152" s="196"/>
      <x:c r="S152" s="196"/>
      <x:c r="T152" s="196"/>
    </x:row>
    <x:row r="153" spans="2:20">
      <x:c r="B153" s="197"/>
      <x:c r="C153" s="197"/>
      <x:c r="D153" s="197"/>
      <x:c r="E153" s="197"/>
      <x:c r="F153" s="197"/>
      <x:c r="G153" s="196"/>
      <x:c r="H153" s="196"/>
      <x:c r="I153" s="196"/>
      <x:c r="J153" s="196"/>
      <x:c r="K153" s="196"/>
      <x:c r="L153" s="196"/>
      <x:c r="M153" s="196"/>
      <x:c r="N153" s="196"/>
      <x:c r="O153" s="196"/>
      <x:c r="P153" s="196"/>
      <x:c r="Q153" s="197"/>
      <x:c r="R153" s="196"/>
      <x:c r="S153" s="196"/>
      <x:c r="T153" s="196"/>
    </x:row>
    <x:row r="154" spans="2:20">
      <x:c r="B154" s="197"/>
      <x:c r="C154" s="197"/>
      <x:c r="D154" s="197"/>
      <x:c r="E154" s="197"/>
      <x:c r="F154" s="197"/>
      <x:c r="G154" s="196"/>
      <x:c r="H154" s="196"/>
      <x:c r="I154" s="196"/>
      <x:c r="J154" s="196"/>
      <x:c r="K154" s="196"/>
      <x:c r="L154" s="196"/>
      <x:c r="M154" s="196"/>
      <x:c r="N154" s="196"/>
      <x:c r="O154" s="196"/>
      <x:c r="P154" s="196"/>
      <x:c r="Q154" s="197"/>
      <x:c r="R154" s="196"/>
      <x:c r="S154" s="196"/>
      <x:c r="T154" s="196"/>
    </x:row>
    <x:row r="155" spans="2:20">
      <x:c r="B155" s="197"/>
      <x:c r="C155" s="197"/>
      <x:c r="D155" s="197"/>
      <x:c r="E155" s="197"/>
      <x:c r="F155" s="197"/>
      <x:c r="G155" s="196"/>
      <x:c r="H155" s="196"/>
      <x:c r="I155" s="196"/>
      <x:c r="J155" s="196"/>
      <x:c r="K155" s="196"/>
      <x:c r="L155" s="196"/>
      <x:c r="M155" s="196"/>
      <x:c r="N155" s="196"/>
      <x:c r="O155" s="196"/>
      <x:c r="P155" s="196"/>
      <x:c r="Q155" s="197"/>
      <x:c r="R155" s="196"/>
      <x:c r="S155" s="196"/>
      <x:c r="T155" s="196"/>
    </x:row>
    <x:row r="156" spans="2:20">
      <x:c r="B156" s="197"/>
      <x:c r="C156" s="197"/>
      <x:c r="D156" s="197"/>
      <x:c r="E156" s="197"/>
      <x:c r="F156" s="197"/>
      <x:c r="G156" s="196"/>
      <x:c r="H156" s="196"/>
      <x:c r="I156" s="196"/>
      <x:c r="J156" s="196"/>
      <x:c r="K156" s="196"/>
      <x:c r="L156" s="196"/>
      <x:c r="M156" s="196"/>
      <x:c r="N156" s="196"/>
      <x:c r="O156" s="196"/>
      <x:c r="P156" s="196"/>
      <x:c r="Q156" s="197"/>
      <x:c r="R156" s="196"/>
      <x:c r="S156" s="196"/>
      <x:c r="T156" s="196"/>
    </x:row>
    <x:row r="157" spans="2:20">
      <x:c r="B157" s="197"/>
      <x:c r="C157" s="197"/>
      <x:c r="D157" s="197"/>
      <x:c r="E157" s="197"/>
      <x:c r="F157" s="197"/>
      <x:c r="G157" s="196"/>
      <x:c r="H157" s="196"/>
      <x:c r="I157" s="196"/>
      <x:c r="J157" s="196"/>
      <x:c r="K157" s="196"/>
      <x:c r="L157" s="196"/>
      <x:c r="M157" s="196"/>
      <x:c r="N157" s="196"/>
      <x:c r="O157" s="196"/>
      <x:c r="P157" s="196"/>
      <x:c r="Q157" s="197"/>
      <x:c r="R157" s="196"/>
      <x:c r="S157" s="196"/>
      <x:c r="T157" s="196"/>
    </x:row>
  </x:sheetData>
  <x:mergeCells count="684">
    <x:mergeCell ref="A2:A4"/>
    <x:mergeCell ref="B2:C2"/>
    <x:mergeCell ref="D2:D4"/>
    <x:mergeCell ref="E2:N2"/>
    <x:mergeCell ref="O2:O4"/>
    <x:mergeCell ref="R2:R4"/>
    <x:mergeCell ref="S2:S4"/>
    <x:mergeCell ref="T2:T4"/>
    <x:mergeCell ref="B3:B4"/>
    <x:mergeCell ref="C3:C4"/>
    <x:mergeCell ref="E3:L4"/>
    <x:mergeCell ref="M3:N4"/>
    <x:mergeCell ref="A5:A11"/>
    <x:mergeCell ref="E5:F5"/>
    <x:mergeCell ref="G5:I5"/>
    <x:mergeCell ref="J5:L5"/>
    <x:mergeCell ref="M5:N5"/>
    <x:mergeCell ref="E6:F6"/>
    <x:mergeCell ref="G6:I6"/>
    <x:mergeCell ref="J6:L6"/>
    <x:mergeCell ref="M6:N6"/>
    <x:mergeCell ref="E7:F7"/>
    <x:mergeCell ref="G7:I7"/>
    <x:mergeCell ref="J7:L7"/>
    <x:mergeCell ref="M7:N7"/>
    <x:mergeCell ref="E8:F8"/>
    <x:mergeCell ref="G8:I8"/>
    <x:mergeCell ref="J8:L8"/>
    <x:mergeCell ref="M8:N8"/>
    <x:mergeCell ref="E9:F9"/>
    <x:mergeCell ref="G9:I9"/>
    <x:mergeCell ref="J9:L9"/>
    <x:mergeCell ref="M9:N9"/>
    <x:mergeCell ref="U9:U11"/>
    <x:mergeCell ref="E10:F10"/>
    <x:mergeCell ref="G10:I10"/>
    <x:mergeCell ref="J10:L10"/>
    <x:mergeCell ref="M10:N10"/>
    <x:mergeCell ref="E11:F11"/>
    <x:mergeCell ref="G11:I11"/>
    <x:mergeCell ref="J11:L11"/>
    <x:mergeCell ref="M11:N11"/>
    <x:mergeCell ref="A12:A17"/>
    <x:mergeCell ref="E12:F12"/>
    <x:mergeCell ref="G12:I12"/>
    <x:mergeCell ref="J12:L12"/>
    <x:mergeCell ref="M12:N12"/>
    <x:mergeCell ref="E13:F13"/>
    <x:mergeCell ref="G13:I13"/>
    <x:mergeCell ref="J13:L13"/>
    <x:mergeCell ref="M13:N13"/>
    <x:mergeCell ref="E14:F14"/>
    <x:mergeCell ref="G14:I14"/>
    <x:mergeCell ref="J14:L14"/>
    <x:mergeCell ref="M14:N14"/>
    <x:mergeCell ref="E15:F15"/>
    <x:mergeCell ref="G15:I15"/>
    <x:mergeCell ref="J15:L15"/>
    <x:mergeCell ref="M15:N15"/>
    <x:mergeCell ref="E16:F16"/>
    <x:mergeCell ref="G16:I16"/>
    <x:mergeCell ref="J16:L16"/>
    <x:mergeCell ref="M16:N16"/>
    <x:mergeCell ref="U16:U18"/>
    <x:mergeCell ref="E17:F17"/>
    <x:mergeCell ref="G17:I17"/>
    <x:mergeCell ref="J17:L17"/>
    <x:mergeCell ref="M17:N17"/>
    <x:mergeCell ref="E18:F18"/>
    <x:mergeCell ref="G18:I18"/>
    <x:mergeCell ref="J18:L18"/>
    <x:mergeCell ref="M18:N18"/>
    <x:mergeCell ref="A19:A27"/>
    <x:mergeCell ref="E19:F19"/>
    <x:mergeCell ref="G19:H19"/>
    <x:mergeCell ref="I19:J19"/>
    <x:mergeCell ref="K19:L19"/>
    <x:mergeCell ref="M19:N19"/>
    <x:mergeCell ref="E20:F20"/>
    <x:mergeCell ref="G20:H20"/>
    <x:mergeCell ref="I20:J20"/>
    <x:mergeCell ref="K20:L20"/>
    <x:mergeCell ref="M20:N20"/>
    <x:mergeCell ref="E21:F21"/>
    <x:mergeCell ref="G21:H21"/>
    <x:mergeCell ref="I21:J21"/>
    <x:mergeCell ref="K21:L21"/>
    <x:mergeCell ref="M21:N21"/>
    <x:mergeCell ref="E22:F22"/>
    <x:mergeCell ref="G22:H22"/>
    <x:mergeCell ref="I22:J22"/>
    <x:mergeCell ref="K22:L22"/>
    <x:mergeCell ref="M22:N22"/>
    <x:mergeCell ref="E23:F23"/>
    <x:mergeCell ref="G23:H23"/>
    <x:mergeCell ref="I23:J23"/>
    <x:mergeCell ref="K23:L23"/>
    <x:mergeCell ref="M23:N23"/>
    <x:mergeCell ref="B24:B25"/>
    <x:mergeCell ref="C24:C25"/>
    <x:mergeCell ref="D24:D25"/>
    <x:mergeCell ref="E24:F24"/>
    <x:mergeCell ref="G24:H24"/>
    <x:mergeCell ref="I24:J24"/>
    <x:mergeCell ref="K24:L24"/>
    <x:mergeCell ref="M24:N24"/>
    <x:mergeCell ref="B26:B27"/>
    <x:mergeCell ref="C26:C27"/>
    <x:mergeCell ref="D26:D27"/>
    <x:mergeCell ref="E26:F26"/>
    <x:mergeCell ref="G26:H26"/>
    <x:mergeCell ref="I26:J26"/>
    <x:mergeCell ref="K26:L26"/>
    <x:mergeCell ref="M26:N26"/>
    <x:mergeCell ref="R26:R27"/>
    <x:mergeCell ref="E27:F27"/>
    <x:mergeCell ref="G27:H27"/>
    <x:mergeCell ref="I27:J27"/>
    <x:mergeCell ref="K27:L27"/>
    <x:mergeCell ref="M27:N27"/>
    <x:mergeCell ref="K30:L30"/>
    <x:mergeCell ref="M30:N30"/>
    <x:mergeCell ref="K32:L32"/>
    <x:mergeCell ref="M32:N32"/>
    <x:mergeCell ref="S24:S25"/>
    <x:mergeCell ref="T24:T25"/>
    <x:mergeCell ref="E25:F25"/>
    <x:mergeCell ref="G25:H25"/>
    <x:mergeCell ref="I25:J25"/>
    <x:mergeCell ref="K25:L25"/>
    <x:mergeCell ref="M25:N25"/>
    <x:mergeCell ref="S26:S27"/>
    <x:mergeCell ref="T26:T27"/>
    <x:mergeCell ref="R24:R25"/>
    <x:mergeCell ref="I28:J28"/>
    <x:mergeCell ref="K28:L28"/>
    <x:mergeCell ref="M28:N28"/>
    <x:mergeCell ref="E29:F29"/>
    <x:mergeCell ref="G29:H29"/>
    <x:mergeCell ref="I29:J29"/>
    <x:mergeCell ref="K29:L29"/>
    <x:mergeCell ref="M29:N29"/>
    <x:mergeCell ref="E30:F30"/>
    <x:mergeCell ref="G30:H30"/>
    <x:mergeCell ref="E32:F32"/>
    <x:mergeCell ref="G32:H32"/>
    <x:mergeCell ref="I32:J32"/>
    <x:mergeCell ref="J34:L34"/>
    <x:mergeCell ref="M34:N34"/>
    <x:mergeCell ref="E35:F35"/>
    <x:mergeCell ref="G35:I35"/>
    <x:mergeCell ref="J35:L35"/>
    <x:mergeCell ref="E36:F36"/>
    <x:mergeCell ref="G36:I36"/>
    <x:mergeCell ref="J36:L36"/>
    <x:mergeCell ref="M36:N36"/>
    <x:mergeCell ref="I30:J30"/>
    <x:mergeCell ref="A28:A32"/>
    <x:mergeCell ref="E28:F28"/>
    <x:mergeCell ref="G28:H28"/>
    <x:mergeCell ref="A38:A40"/>
    <x:mergeCell ref="E38:F38"/>
    <x:mergeCell ref="G38:I38"/>
    <x:mergeCell ref="J38:L38"/>
    <x:mergeCell ref="M38:N38"/>
    <x:mergeCell ref="A33:A37"/>
    <x:mergeCell ref="E33:F33"/>
    <x:mergeCell ref="G33:I33"/>
    <x:mergeCell ref="J33:L33"/>
    <x:mergeCell ref="M33:N33"/>
    <x:mergeCell ref="E34:F34"/>
    <x:mergeCell ref="G34:I34"/>
    <x:mergeCell ref="E37:F37"/>
    <x:mergeCell ref="G37:I37"/>
    <x:mergeCell ref="J37:L37"/>
    <x:mergeCell ref="E31:F31"/>
    <x:mergeCell ref="G31:H31"/>
    <x:mergeCell ref="I31:J31"/>
    <x:mergeCell ref="K31:L31"/>
    <x:mergeCell ref="M31:N31"/>
    <x:mergeCell ref="O38:O40"/>
    <x:mergeCell ref="E39:F39"/>
    <x:mergeCell ref="G39:I39"/>
    <x:mergeCell ref="J39:L39"/>
    <x:mergeCell ref="M39:N39"/>
    <x:mergeCell ref="E40:F40"/>
    <x:mergeCell ref="G40:I40"/>
    <x:mergeCell ref="J40:L40"/>
    <x:mergeCell ref="M40:N40"/>
    <x:mergeCell ref="A41:A43"/>
    <x:mergeCell ref="E41:F41"/>
    <x:mergeCell ref="G41:I41"/>
    <x:mergeCell ref="J41:L41"/>
    <x:mergeCell ref="M41:N41"/>
    <x:mergeCell ref="O41:O43"/>
    <x:mergeCell ref="E42:F42"/>
    <x:mergeCell ref="G42:I42"/>
    <x:mergeCell ref="J42:L42"/>
    <x:mergeCell ref="M42:N42"/>
    <x:mergeCell ref="U42:AM42"/>
    <x:mergeCell ref="E43:F43"/>
    <x:mergeCell ref="G43:I43"/>
    <x:mergeCell ref="J43:L43"/>
    <x:mergeCell ref="M43:N43"/>
    <x:mergeCell ref="U43:AL43"/>
    <x:mergeCell ref="A44:A49"/>
    <x:mergeCell ref="B44:B45"/>
    <x:mergeCell ref="C44:C45"/>
    <x:mergeCell ref="D44:D45"/>
    <x:mergeCell ref="E44:H44"/>
    <x:mergeCell ref="I44:L44"/>
    <x:mergeCell ref="M44:O44"/>
    <x:mergeCell ref="Q44:Q45"/>
    <x:mergeCell ref="R44:R45"/>
    <x:mergeCell ref="S44:S45"/>
    <x:mergeCell ref="T44:T45"/>
    <x:mergeCell ref="U44:Z44"/>
    <x:mergeCell ref="AA44:AF44"/>
    <x:mergeCell ref="AG44:AL44"/>
    <x:mergeCell ref="AM44:AM45"/>
    <x:mergeCell ref="E45:F45"/>
    <x:mergeCell ref="G45:H45"/>
    <x:mergeCell ref="I45:J45"/>
    <x:mergeCell ref="K45:L45"/>
    <x:mergeCell ref="M45:N45"/>
    <x:mergeCell ref="U45:V45"/>
    <x:mergeCell ref="W45:X45"/>
    <x:mergeCell ref="AA45:AB45"/>
    <x:mergeCell ref="AC45:AD45"/>
    <x:mergeCell ref="AG45:AH45"/>
    <x:mergeCell ref="AI45:AJ45"/>
    <x:mergeCell ref="E46:F46"/>
    <x:mergeCell ref="G46:H46"/>
    <x:mergeCell ref="I46:J46"/>
    <x:mergeCell ref="K46:L46"/>
    <x:mergeCell ref="M46:N46"/>
    <x:mergeCell ref="U46:V46"/>
    <x:mergeCell ref="W46:X46"/>
    <x:mergeCell ref="AA46:AB46"/>
    <x:mergeCell ref="AC46:AD46"/>
    <x:mergeCell ref="AG46:AH46"/>
    <x:mergeCell ref="AI46:AJ46"/>
    <x:mergeCell ref="AG47:AH47"/>
    <x:mergeCell ref="AI47:AJ47"/>
    <x:mergeCell ref="E48:F48"/>
    <x:mergeCell ref="G48:H48"/>
    <x:mergeCell ref="I48:J48"/>
    <x:mergeCell ref="K48:L48"/>
    <x:mergeCell ref="M48:N48"/>
    <x:mergeCell ref="U48:V48"/>
    <x:mergeCell ref="W48:X48"/>
    <x:mergeCell ref="AA48:AB48"/>
    <x:mergeCell ref="AC48:AD48"/>
    <x:mergeCell ref="AG48:AH48"/>
    <x:mergeCell ref="AI48:AJ48"/>
    <x:mergeCell ref="E47:F47"/>
    <x:mergeCell ref="G47:H47"/>
    <x:mergeCell ref="I47:J47"/>
    <x:mergeCell ref="K47:L47"/>
    <x:mergeCell ref="M47:N47"/>
    <x:mergeCell ref="U47:V47"/>
    <x:mergeCell ref="W47:X47"/>
    <x:mergeCell ref="AA47:AB47"/>
    <x:mergeCell ref="AC47:AD47"/>
    <x:mergeCell ref="E49:F49"/>
    <x:mergeCell ref="G49:H49"/>
    <x:mergeCell ref="I49:J49"/>
    <x:mergeCell ref="K49:L49"/>
    <x:mergeCell ref="M49:N49"/>
    <x:mergeCell ref="U49:V49"/>
    <x:mergeCell ref="W49:X49"/>
    <x:mergeCell ref="AA49:AB49"/>
    <x:mergeCell ref="AC49:AD49"/>
    <x:mergeCell ref="AG49:AH49"/>
    <x:mergeCell ref="AI49:AJ49"/>
    <x:mergeCell ref="A50:A55"/>
    <x:mergeCell ref="B50:B51"/>
    <x:mergeCell ref="C50:C51"/>
    <x:mergeCell ref="D50:D51"/>
    <x:mergeCell ref="E50:H50"/>
    <x:mergeCell ref="I50:L50"/>
    <x:mergeCell ref="M50:O50"/>
    <x:mergeCell ref="Q50:Q51"/>
    <x:mergeCell ref="R50:R51"/>
    <x:mergeCell ref="S50:S51"/>
    <x:mergeCell ref="T50:T51"/>
    <x:mergeCell ref="U50:Z50"/>
    <x:mergeCell ref="AA50:AF50"/>
    <x:mergeCell ref="AG50:AL50"/>
    <x:mergeCell ref="E52:F52"/>
    <x:mergeCell ref="G52:H52"/>
    <x:mergeCell ref="I52:J52"/>
    <x:mergeCell ref="K52:L52"/>
    <x:mergeCell ref="M52:N52"/>
    <x:mergeCell ref="U52:V52"/>
    <x:mergeCell ref="W52:X52"/>
    <x:mergeCell ref="AA52:AB52"/>
    <x:mergeCell ref="AM50:AM51"/>
    <x:mergeCell ref="E51:F51"/>
    <x:mergeCell ref="G51:H51"/>
    <x:mergeCell ref="I51:J51"/>
    <x:mergeCell ref="K51:L51"/>
    <x:mergeCell ref="M51:N51"/>
    <x:mergeCell ref="U51:V51"/>
    <x:mergeCell ref="W51:X51"/>
    <x:mergeCell ref="AA51:AB51"/>
    <x:mergeCell ref="AC51:AD51"/>
    <x:mergeCell ref="AG51:AH51"/>
    <x:mergeCell ref="AI51:AJ51"/>
    <x:mergeCell ref="AC52:AD52"/>
    <x:mergeCell ref="AG52:AH52"/>
    <x:mergeCell ref="AI52:AJ52"/>
    <x:mergeCell ref="E53:F53"/>
    <x:mergeCell ref="G53:H53"/>
    <x:mergeCell ref="I53:J53"/>
    <x:mergeCell ref="K53:L53"/>
    <x:mergeCell ref="M53:N53"/>
    <x:mergeCell ref="U53:V53"/>
    <x:mergeCell ref="W53:X53"/>
    <x:mergeCell ref="AA53:AB53"/>
    <x:mergeCell ref="AC53:AD53"/>
    <x:mergeCell ref="AG53:AH53"/>
    <x:mergeCell ref="AI53:AJ53"/>
    <x:mergeCell ref="AG54:AH54"/>
    <x:mergeCell ref="AI54:AJ54"/>
    <x:mergeCell ref="E55:F55"/>
    <x:mergeCell ref="G55:H55"/>
    <x:mergeCell ref="I55:J55"/>
    <x:mergeCell ref="K55:L55"/>
    <x:mergeCell ref="M55:N55"/>
    <x:mergeCell ref="U55:V55"/>
    <x:mergeCell ref="W55:X55"/>
    <x:mergeCell ref="AA55:AB55"/>
    <x:mergeCell ref="AC55:AD55"/>
    <x:mergeCell ref="AG55:AH55"/>
    <x:mergeCell ref="AI55:AJ55"/>
    <x:mergeCell ref="E54:F54"/>
    <x:mergeCell ref="G54:H54"/>
    <x:mergeCell ref="I54:J54"/>
    <x:mergeCell ref="K54:L54"/>
    <x:mergeCell ref="M54:N54"/>
    <x:mergeCell ref="U54:V54"/>
    <x:mergeCell ref="W54:X54"/>
    <x:mergeCell ref="AA54:AB54"/>
    <x:mergeCell ref="AC54:AD54"/>
    <x:mergeCell ref="A56:F56"/>
    <x:mergeCell ref="G56:H56"/>
    <x:mergeCell ref="I56:J56"/>
    <x:mergeCell ref="K56:L56"/>
    <x:mergeCell ref="M56:P56"/>
    <x:mergeCell ref="A57:A62"/>
    <x:mergeCell ref="E57:F57"/>
    <x:mergeCell ref="E58:F58"/>
    <x:mergeCell ref="E59:F59"/>
    <x:mergeCell ref="E60:F60"/>
    <x:mergeCell ref="E61:F61"/>
    <x:mergeCell ref="E62:F62"/>
    <x:mergeCell ref="A63:A65"/>
    <x:mergeCell ref="E63:F63"/>
    <x:mergeCell ref="G63:H63"/>
    <x:mergeCell ref="I63:J63"/>
    <x:mergeCell ref="K63:L63"/>
    <x:mergeCell ref="M63:N63"/>
    <x:mergeCell ref="Q63:Q65"/>
    <x:mergeCell ref="E64:F64"/>
    <x:mergeCell ref="G64:H64"/>
    <x:mergeCell ref="I64:J64"/>
    <x:mergeCell ref="K64:L64"/>
    <x:mergeCell ref="M64:N64"/>
    <x:mergeCell ref="E65:F65"/>
    <x:mergeCell ref="I65:J65"/>
    <x:mergeCell ref="K65:L65"/>
    <x:mergeCell ref="M65:N65"/>
    <x:mergeCell ref="E66:F66"/>
    <x:mergeCell ref="G66:H66"/>
    <x:mergeCell ref="I66:J66"/>
    <x:mergeCell ref="K66:L66"/>
    <x:mergeCell ref="M66:N66"/>
    <x:mergeCell ref="A67:A71"/>
    <x:mergeCell ref="E67:F67"/>
    <x:mergeCell ref="G67:H67"/>
    <x:mergeCell ref="I67:J67"/>
    <x:mergeCell ref="K67:L67"/>
    <x:mergeCell ref="M67:N67"/>
    <x:mergeCell ref="E68:F68"/>
    <x:mergeCell ref="G68:H68"/>
    <x:mergeCell ref="I68:J68"/>
    <x:mergeCell ref="K68:L68"/>
    <x:mergeCell ref="M68:N68"/>
    <x:mergeCell ref="E69:F69"/>
    <x:mergeCell ref="G69:H69"/>
    <x:mergeCell ref="I69:J69"/>
    <x:mergeCell ref="E70:F70"/>
    <x:mergeCell ref="G70:H70"/>
    <x:mergeCell ref="I70:J70"/>
    <x:mergeCell ref="K70:L70"/>
    <x:mergeCell ref="M70:N70"/>
    <x:mergeCell ref="E71:F71"/>
    <x:mergeCell ref="G71:H71"/>
    <x:mergeCell ref="I71:J71"/>
    <x:mergeCell ref="A72:A75"/>
    <x:mergeCell ref="E72:F72"/>
    <x:mergeCell ref="G72:H72"/>
    <x:mergeCell ref="I72:J72"/>
    <x:mergeCell ref="K72:L72"/>
    <x:mergeCell ref="M72:N72"/>
    <x:mergeCell ref="Q72:Q75"/>
    <x:mergeCell ref="E73:F73"/>
    <x:mergeCell ref="G73:H73"/>
    <x:mergeCell ref="I73:J73"/>
    <x:mergeCell ref="K73:L73"/>
    <x:mergeCell ref="M73:N73"/>
    <x:mergeCell ref="E75:F75"/>
    <x:mergeCell ref="G75:H75"/>
    <x:mergeCell ref="I75:J75"/>
    <x:mergeCell ref="K75:L75"/>
    <x:mergeCell ref="M75:N75"/>
    <x:mergeCell ref="A76:A83"/>
    <x:mergeCell ref="B76:B77"/>
    <x:mergeCell ref="C76:C77"/>
    <x:mergeCell ref="D76:D77"/>
    <x:mergeCell ref="E76:F76"/>
    <x:mergeCell ref="G76:H76"/>
    <x:mergeCell ref="I76:J76"/>
    <x:mergeCell ref="K76:L76"/>
    <x:mergeCell ref="M76:N76"/>
    <x:mergeCell ref="B80:B81"/>
    <x:mergeCell ref="C80:C81"/>
    <x:mergeCell ref="D80:D81"/>
    <x:mergeCell ref="E80:F80"/>
    <x:mergeCell ref="G80:H80"/>
    <x:mergeCell ref="I80:J80"/>
    <x:mergeCell ref="K80:L80"/>
    <x:mergeCell ref="M80:N80"/>
    <x:mergeCell ref="R76:R77"/>
    <x:mergeCell ref="S76:S77"/>
    <x:mergeCell ref="T76:T77"/>
    <x:mergeCell ref="E77:F77"/>
    <x:mergeCell ref="G77:H77"/>
    <x:mergeCell ref="I77:J77"/>
    <x:mergeCell ref="K77:L77"/>
    <x:mergeCell ref="M77:N77"/>
    <x:mergeCell ref="B78:B79"/>
    <x:mergeCell ref="C78:C79"/>
    <x:mergeCell ref="D78:D79"/>
    <x:mergeCell ref="E78:F78"/>
    <x:mergeCell ref="G78:H78"/>
    <x:mergeCell ref="I78:J78"/>
    <x:mergeCell ref="K78:L78"/>
    <x:mergeCell ref="M78:N78"/>
    <x:mergeCell ref="R78:R79"/>
    <x:mergeCell ref="S78:S79"/>
    <x:mergeCell ref="T78:T79"/>
    <x:mergeCell ref="E79:F79"/>
    <x:mergeCell ref="G79:H79"/>
    <x:mergeCell ref="I79:J79"/>
    <x:mergeCell ref="K79:L79"/>
    <x:mergeCell ref="M79:N79"/>
    <x:mergeCell ref="B86:B87"/>
    <x:mergeCell ref="C86:C87"/>
    <x:mergeCell ref="R80:R81"/>
    <x:mergeCell ref="S80:S81"/>
    <x:mergeCell ref="T80:T81"/>
    <x:mergeCell ref="E81:F81"/>
    <x:mergeCell ref="G81:H81"/>
    <x:mergeCell ref="I81:J81"/>
    <x:mergeCell ref="K81:L81"/>
    <x:mergeCell ref="M81:N81"/>
    <x:mergeCell ref="B82:B83"/>
    <x:mergeCell ref="C82:C83"/>
    <x:mergeCell ref="D82:D83"/>
    <x:mergeCell ref="E82:F82"/>
    <x:mergeCell ref="G82:H82"/>
    <x:mergeCell ref="I82:J82"/>
    <x:mergeCell ref="K82:L82"/>
    <x:mergeCell ref="M82:N82"/>
    <x:mergeCell ref="R82:R83"/>
    <x:mergeCell ref="S82:S83"/>
    <x:mergeCell ref="T82:T83"/>
    <x:mergeCell ref="S86:S87"/>
    <x:mergeCell ref="T86:T87"/>
    <x:mergeCell ref="E87:F87"/>
    <x:mergeCell ref="U82:U83"/>
    <x:mergeCell ref="E83:F83"/>
    <x:mergeCell ref="G83:H83"/>
    <x:mergeCell ref="I83:J83"/>
    <x:mergeCell ref="K83:L83"/>
    <x:mergeCell ref="E84:F84"/>
    <x:mergeCell ref="G84:H84"/>
    <x:mergeCell ref="I84:J84"/>
    <x:mergeCell ref="K84:L84"/>
    <x:mergeCell ref="M84:N84"/>
    <x:mergeCell ref="R84:R85"/>
    <x:mergeCell ref="S84:S85"/>
    <x:mergeCell ref="T84:T85"/>
    <x:mergeCell ref="E85:F85"/>
    <x:mergeCell ref="G85:H85"/>
    <x:mergeCell ref="I85:J85"/>
    <x:mergeCell ref="K85:L85"/>
    <x:mergeCell ref="K88:L88"/>
    <x:mergeCell ref="M88:N88"/>
    <x:mergeCell ref="R88:R89"/>
    <x:mergeCell ref="D86:D87"/>
    <x:mergeCell ref="E86:F86"/>
    <x:mergeCell ref="G86:H86"/>
    <x:mergeCell ref="I86:J86"/>
    <x:mergeCell ref="K86:L86"/>
    <x:mergeCell ref="M86:N86"/>
    <x:mergeCell ref="R86:R87"/>
    <x:mergeCell ref="G87:H87"/>
    <x:mergeCell ref="I87:J87"/>
    <x:mergeCell ref="K87:L87"/>
    <x:mergeCell ref="M87:N87"/>
    <x:mergeCell ref="S88:S89"/>
    <x:mergeCell ref="T88:T89"/>
    <x:mergeCell ref="E89:F89"/>
    <x:mergeCell ref="G89:H89"/>
    <x:mergeCell ref="I89:J89"/>
    <x:mergeCell ref="K89:L89"/>
    <x:mergeCell ref="M89:N89"/>
    <x:mergeCell ref="B90:B91"/>
    <x:mergeCell ref="C90:C91"/>
    <x:mergeCell ref="D90:D91"/>
    <x:mergeCell ref="E90:F90"/>
    <x:mergeCell ref="G90:H90"/>
    <x:mergeCell ref="I90:J90"/>
    <x:mergeCell ref="K90:L90"/>
    <x:mergeCell ref="M90:N90"/>
    <x:mergeCell ref="R90:R91"/>
    <x:mergeCell ref="S90:S91"/>
    <x:mergeCell ref="T90:T91"/>
    <x:mergeCell ref="B88:B89"/>
    <x:mergeCell ref="C88:C89"/>
    <x:mergeCell ref="D88:D89"/>
    <x:mergeCell ref="E88:F88"/>
    <x:mergeCell ref="G88:H88"/>
    <x:mergeCell ref="I88:J88"/>
    <x:mergeCell ref="U90:U91"/>
    <x:mergeCell ref="E91:F91"/>
    <x:mergeCell ref="G91:H91"/>
    <x:mergeCell ref="I91:J91"/>
    <x:mergeCell ref="K91:L91"/>
    <x:mergeCell ref="A92:A99"/>
    <x:mergeCell ref="B92:B93"/>
    <x:mergeCell ref="C92:C93"/>
    <x:mergeCell ref="D92:D93"/>
    <x:mergeCell ref="B94:B95"/>
    <x:mergeCell ref="C94:C95"/>
    <x:mergeCell ref="D94:D95"/>
    <x:mergeCell ref="B96:B97"/>
    <x:mergeCell ref="C96:C97"/>
    <x:mergeCell ref="D96:D97"/>
    <x:mergeCell ref="B98:B99"/>
    <x:mergeCell ref="C98:C99"/>
    <x:mergeCell ref="D98:D99"/>
    <x:mergeCell ref="U98:U99"/>
    <x:mergeCell ref="A84:A91"/>
    <x:mergeCell ref="B84:B85"/>
    <x:mergeCell ref="C84:C85"/>
    <x:mergeCell ref="D84:D85"/>
    <x:mergeCell ref="M85:N85"/>
    <x:mergeCell ref="C100:C101"/>
    <x:mergeCell ref="D100:D101"/>
    <x:mergeCell ref="B102:B103"/>
    <x:mergeCell ref="C102:C103"/>
    <x:mergeCell ref="D102:D103"/>
    <x:mergeCell ref="B104:B105"/>
    <x:mergeCell ref="C104:C105"/>
    <x:mergeCell ref="D104:D105"/>
    <x:mergeCell ref="B106:B107"/>
    <x:mergeCell ref="C106:C107"/>
    <x:mergeCell ref="D106:D107"/>
    <x:mergeCell ref="U106:U107"/>
    <x:mergeCell ref="A108:A111"/>
    <x:mergeCell ref="E108:F108"/>
    <x:mergeCell ref="G108:H108"/>
    <x:mergeCell ref="I108:J108"/>
    <x:mergeCell ref="K108:L108"/>
    <x:mergeCell ref="M108:N108"/>
    <x:mergeCell ref="E109:F109"/>
    <x:mergeCell ref="G109:H109"/>
    <x:mergeCell ref="I109:J109"/>
    <x:mergeCell ref="K109:L109"/>
    <x:mergeCell ref="M109:N109"/>
    <x:mergeCell ref="E110:F110"/>
    <x:mergeCell ref="G110:H110"/>
    <x:mergeCell ref="I110:J110"/>
    <x:mergeCell ref="K110:L110"/>
    <x:mergeCell ref="M110:N110"/>
    <x:mergeCell ref="E111:F111"/>
    <x:mergeCell ref="G111:H111"/>
    <x:mergeCell ref="I111:J111"/>
    <x:mergeCell ref="K111:L111"/>
    <x:mergeCell ref="M111:N111"/>
    <x:mergeCell ref="A100:A107"/>
    <x:mergeCell ref="B100:B101"/>
    <x:mergeCell ref="A112:A114"/>
    <x:mergeCell ref="E112:F112"/>
    <x:mergeCell ref="G112:H112"/>
    <x:mergeCell ref="I112:J112"/>
    <x:mergeCell ref="K112:L112"/>
    <x:mergeCell ref="M112:N112"/>
    <x:mergeCell ref="E113:F113"/>
    <x:mergeCell ref="G113:H113"/>
    <x:mergeCell ref="I113:J113"/>
    <x:mergeCell ref="K113:L113"/>
    <x:mergeCell ref="M113:N113"/>
    <x:mergeCell ref="E114:F114"/>
    <x:mergeCell ref="G114:H114"/>
    <x:mergeCell ref="A115:A117"/>
    <x:mergeCell ref="E115:F115"/>
    <x:mergeCell ref="G115:H115"/>
    <x:mergeCell ref="I115:J115"/>
    <x:mergeCell ref="K115:L115"/>
    <x:mergeCell ref="M115:N115"/>
    <x:mergeCell ref="E116:F116"/>
    <x:mergeCell ref="G116:H116"/>
    <x:mergeCell ref="I116:J116"/>
    <x:mergeCell ref="K116:L116"/>
    <x:mergeCell ref="M116:N116"/>
    <x:mergeCell ref="E117:F117"/>
    <x:mergeCell ref="G117:H117"/>
    <x:mergeCell ref="A118:A120"/>
    <x:mergeCell ref="E118:F118"/>
    <x:mergeCell ref="G118:H118"/>
    <x:mergeCell ref="I118:J118"/>
    <x:mergeCell ref="K118:L118"/>
    <x:mergeCell ref="M118:N118"/>
    <x:mergeCell ref="E119:F119"/>
    <x:mergeCell ref="G119:H119"/>
    <x:mergeCell ref="I119:J119"/>
    <x:mergeCell ref="K119:L119"/>
    <x:mergeCell ref="M119:N119"/>
    <x:mergeCell ref="E120:F120"/>
    <x:mergeCell ref="G120:H120"/>
    <x:mergeCell ref="A121:A123"/>
    <x:mergeCell ref="E121:F121"/>
    <x:mergeCell ref="G121:H121"/>
    <x:mergeCell ref="E122:F122"/>
    <x:mergeCell ref="G122:H122"/>
    <x:mergeCell ref="E123:F123"/>
    <x:mergeCell ref="G123:H123"/>
    <x:mergeCell ref="A124:A126"/>
    <x:mergeCell ref="E124:F124"/>
    <x:mergeCell ref="G124:H124"/>
    <x:mergeCell ref="I124:J124"/>
    <x:mergeCell ref="K124:L124"/>
    <x:mergeCell ref="M124:N124"/>
    <x:mergeCell ref="E125:F125"/>
    <x:mergeCell ref="G125:H125"/>
    <x:mergeCell ref="I125:J125"/>
    <x:mergeCell ref="K125:L125"/>
    <x:mergeCell ref="M125:N125"/>
    <x:mergeCell ref="E126:F126"/>
    <x:mergeCell ref="G126:H126"/>
    <x:mergeCell ref="A127:A129"/>
    <x:mergeCell ref="E127:F127"/>
    <x:mergeCell ref="G127:H127"/>
    <x:mergeCell ref="I127:J127"/>
    <x:mergeCell ref="K127:L127"/>
    <x:mergeCell ref="M127:N127"/>
    <x:mergeCell ref="E128:F128"/>
    <x:mergeCell ref="G128:H128"/>
    <x:mergeCell ref="I128:J128"/>
    <x:mergeCell ref="K128:L128"/>
    <x:mergeCell ref="M128:N128"/>
    <x:mergeCell ref="E129:F129"/>
    <x:mergeCell ref="G129:H129"/>
    <x:mergeCell ref="F135:G135"/>
    <x:mergeCell ref="F136:G136"/>
    <x:mergeCell ref="F137:G137"/>
    <x:mergeCell ref="A130:A132"/>
    <x:mergeCell ref="E130:F130"/>
    <x:mergeCell ref="G130:H130"/>
    <x:mergeCell ref="I130:J130"/>
    <x:mergeCell ref="K130:L130"/>
    <x:mergeCell ref="M130:N130"/>
    <x:mergeCell ref="E131:F131"/>
    <x:mergeCell ref="G131:H131"/>
    <x:mergeCell ref="I131:J131"/>
    <x:mergeCell ref="K131:L131"/>
    <x:mergeCell ref="M131:N131"/>
    <x:mergeCell ref="E132:F132"/>
    <x:mergeCell ref="G132:H132"/>
  </x:mergeCells>
  <x:pageMargins left="0.74805557727813721" right="0.74805557727813721" top="0.98430556058883667" bottom="0.98430556058883667" header="0.51138889789581299" footer="0.51138889789581299"/>
  <x:pageSetup paperSize="9" scale="42" firstPageNumber="1" fitToWidth="0" fitToHeight="0" orientation="portrait" usePrinterDefaults="1" blackAndWhite="0" draft="0" useFirstPageNumber="0" horizontalDpi="600" verticalDpi="600" copies="1"/>
  <x:rowBreaks count="1" manualBreakCount="1">
    <x:brk id="139" min="0" max="1048575" man="1" pt="0"/>
  </x:rowBreaks>
  <x:colBreaks count="1" manualBreakCount="1">
    <x:brk id="20" min="0" max="16383" man="1" pt="0"/>
  </x:colBreaks>
  <x:drawing r:id="rId1"/>
</x:worksheet>
</file>

<file path=xl/worksheets/sheet3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9">
    <x:tabColor rgb="ffff843a"/>
  </x:sheetPr>
  <x:dimension ref="A1:W174"/>
  <x:sheetViews>
    <x:sheetView view="pageBreakPreview" topLeftCell="A48" zoomScaleNormal="100" zoomScaleSheetLayoutView="100" workbookViewId="0">
      <x:selection activeCell="I57" activeCellId="0" sqref="I57:I57"/>
    </x:sheetView>
  </x:sheetViews>
  <x:sheetFormatPr defaultColWidth="9" defaultRowHeight="17.399999999999999"/>
  <x:cols>
    <x:col min="1" max="1" width="12.69921875" style="1" customWidth="1"/>
    <x:col min="2" max="2" width="20.5" style="48" customWidth="1"/>
    <x:col min="3" max="3" width="14.5" style="48" customWidth="1"/>
    <x:col min="4" max="4" width="12" style="327" customWidth="1"/>
    <x:col min="5" max="7" width="12" style="48" customWidth="1"/>
    <x:col min="8" max="8" width="15" style="48" customWidth="1"/>
    <x:col min="9" max="9" width="12" style="48" customWidth="1"/>
    <x:col min="10" max="12" width="12.5" style="48" customWidth="1"/>
    <x:col min="13" max="13" width="14.3984375" style="48" customWidth="1"/>
    <x:col min="14" max="15" width="12.5" style="48" customWidth="1"/>
    <x:col min="16" max="16" width="12.5" style="1" customWidth="1"/>
  </x:cols>
  <x:sheetData>
    <x:row r="1" spans="1:16" ht="70.5" customHeight="1">
      <x:c r="A1" s="850" t="s">
        <x:v>9</x:v>
      </x:c>
      <x:c r="B1" s="851"/>
      <x:c r="C1" s="851"/>
      <x:c r="D1" s="851"/>
      <x:c r="E1" s="851"/>
      <x:c r="F1" s="851"/>
      <x:c r="G1" s="851"/>
      <x:c r="H1" s="851"/>
      <x:c r="I1" s="851"/>
      <x:c r="J1" s="851"/>
      <x:c r="K1" s="851"/>
      <x:c r="L1" s="851"/>
      <x:c r="M1" s="851"/>
      <x:c r="N1" s="851"/>
      <x:c r="O1" s="851"/>
      <x:c r="P1" s="851"/>
    </x:row>
    <x:row r="2" spans="1:16" ht="28.5" customHeight="1">
      <x:c r="A2" s="852" t="s">
        <x:v>148</x:v>
      </x:c>
      <x:c r="B2" s="852" t="s">
        <x:v>168</x:v>
      </x:c>
      <x:c r="C2" s="852"/>
      <x:c r="D2" s="328" t="s">
        <x:v>256</x:v>
      </x:c>
      <x:c r="E2" s="852" t="s">
        <x:v>126</x:v>
      </x:c>
      <x:c r="F2" s="852"/>
      <x:c r="G2" s="852"/>
      <x:c r="H2" s="852" t="s">
        <x:v>91</x:v>
      </x:c>
      <x:c r="I2" s="852" t="s">
        <x:v>53</x:v>
      </x:c>
      <x:c r="J2" s="852" t="s">
        <x:v>140</x:v>
      </x:c>
      <x:c r="K2" s="852"/>
      <x:c r="L2" s="852"/>
      <x:c r="M2" s="852"/>
      <x:c r="N2" s="852"/>
      <x:c r="O2" s="847" t="s">
        <x:v>103</x:v>
      </x:c>
      <x:c r="P2" s="852" t="s">
        <x:v>208</x:v>
      </x:c>
    </x:row>
    <x:row r="3" spans="1:16" ht="18.75" customHeight="1">
      <x:c r="A3" s="852"/>
      <x:c r="B3" s="852" t="s">
        <x:v>141</x:v>
      </x:c>
      <x:c r="C3" s="852" t="s">
        <x:v>128</x:v>
      </x:c>
      <x:c r="D3" s="853" t="s">
        <x:v>216</x:v>
      </x:c>
      <x:c r="E3" s="852" t="s">
        <x:v>235</x:v>
      </x:c>
      <x:c r="F3" s="852" t="s">
        <x:v>202</x:v>
      </x:c>
      <x:c r="G3" s="852" t="s">
        <x:v>200</x:v>
      </x:c>
      <x:c r="H3" s="852"/>
      <x:c r="I3" s="852"/>
      <x:c r="J3" s="847" t="s">
        <x:v>118</x:v>
      </x:c>
      <x:c r="K3" s="852" t="s">
        <x:v>294</x:v>
      </x:c>
      <x:c r="L3" s="852" t="s">
        <x:v>307</x:v>
      </x:c>
      <x:c r="M3" s="847" t="s">
        <x:v>174</x:v>
      </x:c>
      <x:c r="N3" s="847" t="s">
        <x:v>87</x:v>
      </x:c>
      <x:c r="O3" s="848"/>
      <x:c r="P3" s="852"/>
    </x:row>
    <x:row r="4" spans="1:16" ht="18.75" customHeight="1">
      <x:c r="A4" s="852"/>
      <x:c r="B4" s="852"/>
      <x:c r="C4" s="852"/>
      <x:c r="D4" s="853"/>
      <x:c r="E4" s="852"/>
      <x:c r="F4" s="852"/>
      <x:c r="G4" s="852"/>
      <x:c r="H4" s="852"/>
      <x:c r="I4" s="852"/>
      <x:c r="J4" s="849"/>
      <x:c r="K4" s="852"/>
      <x:c r="L4" s="852"/>
      <x:c r="M4" s="849"/>
      <x:c r="N4" s="849"/>
      <x:c r="O4" s="849"/>
      <x:c r="P4" s="852"/>
    </x:row>
    <x:row r="5" spans="1:16" ht="46.5" customHeight="1">
      <x:c r="A5" s="847" t="s">
        <x:v>371</x:v>
      </x:c>
      <x:c r="B5" s="128" t="str">
        <x:f>'입력2(측정)'!B19</x:f>
        <x:v>5층 2-11반</x:v>
      </x:c>
      <x:c r="C5" s="128" t="str">
        <x:f>'입력2(측정)'!C19</x:f>
        <x:v>14:02 ~ 14:12</x:v>
      </x:c>
      <x:c r="D5" s="328">
        <x:f>'입력2(측정)'!D19</x:f>
        <x:v>5</x:v>
      </x:c>
      <x:c r="E5" s="124">
        <x:f>'입력2(측정)'!R19</x:f>
        <x:v>11</x:v>
      </x:c>
      <x:c r="F5" s="124">
        <x:f>'입력2(측정)'!S19</x:f>
        <x:v>13</x:v>
      </x:c>
      <x:c r="G5" s="124">
        <x:f>'입력2(측정)'!T19</x:f>
        <x:v>11.800000000000001</x:v>
      </x:c>
      <x:c r="H5" s="123" t="s">
        <x:v>440</x:v>
      </x:c>
      <x:c r="I5" s="123" t="str">
        <x:f>IF(G5&gt;75,"부적합","적합")</x:f>
        <x:v>적합</x:v>
      </x:c>
      <x:c r="J5" s="847" t="s">
        <x:v>79</x:v>
      </x:c>
      <x:c r="K5" s="847" t="s">
        <x:v>86</x:v>
      </x:c>
      <x:c r="L5" s="847" t="s">
        <x:v>486</x:v>
      </x:c>
      <x:c r="M5" s="847" t="s">
        <x:v>356</x:v>
      </x:c>
      <x:c r="N5" s="847" t="s">
        <x:v>520</x:v>
      </x:c>
      <x:c r="O5" s="847" t="s">
        <x:v>85</x:v>
      </x:c>
      <x:c r="P5" s="847"/>
    </x:row>
    <x:row r="6" spans="1:16" s="47" customFormat="1" ht="46.5" customHeight="1">
      <x:c r="A6" s="848"/>
      <x:c r="B6" s="128" t="str">
        <x:f>'입력2(측정)'!B20</x:f>
        <x:v>4층 2-4반</x:v>
      </x:c>
      <x:c r="C6" s="128" t="str">
        <x:f>'입력2(측정)'!C20</x:f>
        <x:v>14:13 ~ 14:23</x:v>
      </x:c>
      <x:c r="D6" s="328">
        <x:f>'입력2(측정)'!D20</x:f>
        <x:v>5</x:v>
      </x:c>
      <x:c r="E6" s="124">
        <x:f>'입력2(측정)'!R20</x:f>
        <x:v>16</x:v>
      </x:c>
      <x:c r="F6" s="124">
        <x:f>'입력2(측정)'!S20</x:f>
        <x:v>18</x:v>
      </x:c>
      <x:c r="G6" s="124">
        <x:f>'입력2(측정)'!T20</x:f>
        <x:v>16.800000000000001</x:v>
      </x:c>
      <x:c r="H6" s="123" t="s">
        <x:v>440</x:v>
      </x:c>
      <x:c r="I6" s="123" t="str">
        <x:f>IF(G6&gt;75,"부적합","적합")</x:f>
        <x:v>적합</x:v>
      </x:c>
      <x:c r="J6" s="848"/>
      <x:c r="K6" s="848"/>
      <x:c r="L6" s="848"/>
      <x:c r="M6" s="848"/>
      <x:c r="N6" s="848"/>
      <x:c r="O6" s="848"/>
      <x:c r="P6" s="848"/>
    </x:row>
    <x:row r="7" spans="1:16" s="47" customFormat="1" ht="46.5" customHeight="1">
      <x:c r="A7" s="848"/>
      <x:c r="B7" s="128" t="str">
        <x:f>'입력2(측정)'!B21</x:f>
        <x:v>1층 (도제)회계실무실습실</x:v>
      </x:c>
      <x:c r="C7" s="128" t="str">
        <x:f>'입력2(측정)'!C21</x:f>
        <x:v>15:00 ~ 15:10</x:v>
      </x:c>
      <x:c r="D7" s="328">
        <x:f>'입력2(측정)'!D21</x:f>
        <x:v>5</x:v>
      </x:c>
      <x:c r="E7" s="124">
        <x:f>'입력2(측정)'!R21</x:f>
        <x:v>13</x:v>
      </x:c>
      <x:c r="F7" s="124">
        <x:f>'입력2(측정)'!S21</x:f>
        <x:v>15</x:v>
      </x:c>
      <x:c r="G7" s="124">
        <x:f>'입력2(측정)'!T21</x:f>
        <x:v>14.199999999999999</x:v>
      </x:c>
      <x:c r="H7" s="123" t="s">
        <x:v>440</x:v>
      </x:c>
      <x:c r="I7" s="123" t="str">
        <x:f>IF(G7&gt;75,"부적합","적합")</x:f>
        <x:v>적합</x:v>
      </x:c>
      <x:c r="J7" s="848"/>
      <x:c r="K7" s="848"/>
      <x:c r="L7" s="848"/>
      <x:c r="M7" s="848"/>
      <x:c r="N7" s="848"/>
      <x:c r="O7" s="848"/>
      <x:c r="P7" s="848"/>
    </x:row>
    <x:row r="8" spans="1:16" s="47" customFormat="1" ht="46.5" customHeight="1">
      <x:c r="A8" s="848"/>
      <x:c r="B8" s="128" t="s">
        <x:v>204</x:v>
      </x:c>
      <x:c r="C8" s="128" t="s">
        <x:v>204</x:v>
      </x:c>
      <x:c r="D8" s="328" t="s">
        <x:v>204</x:v>
      </x:c>
      <x:c r="E8" s="124" t="s">
        <x:v>204</x:v>
      </x:c>
      <x:c r="F8" s="124" t="s">
        <x:v>204</x:v>
      </x:c>
      <x:c r="G8" s="124" t="s">
        <x:v>204</x:v>
      </x:c>
      <x:c r="H8" s="123" t="s">
        <x:v>204</x:v>
      </x:c>
      <x:c r="I8" s="123" t="s">
        <x:v>204</x:v>
      </x:c>
      <x:c r="J8" s="848"/>
      <x:c r="K8" s="848"/>
      <x:c r="L8" s="848"/>
      <x:c r="M8" s="848"/>
      <x:c r="N8" s="848"/>
      <x:c r="O8" s="848"/>
      <x:c r="P8" s="848"/>
    </x:row>
    <x:row r="9" spans="1:16" s="47" customFormat="1" ht="46.5" customHeight="1">
      <x:c r="A9" s="848"/>
      <x:c r="B9" s="128" t="str">
        <x:f>'입력2(측정)'!B23</x:f>
        <x:v>급식시설</x:v>
      </x:c>
      <x:c r="C9" s="128" t="str">
        <x:f>'입력2(측정)'!C23</x:f>
        <x:v>14:46 ~ 14:56</x:v>
      </x:c>
      <x:c r="D9" s="328">
        <x:f>'입력2(측정)'!D23</x:f>
        <x:v>5</x:v>
      </x:c>
      <x:c r="E9" s="124">
        <x:f>'입력2(측정)'!R23</x:f>
        <x:v>14</x:v>
      </x:c>
      <x:c r="F9" s="124">
        <x:f>'입력2(측정)'!S23</x:f>
        <x:v>18</x:v>
      </x:c>
      <x:c r="G9" s="124">
        <x:f>'입력2(측정)'!T23</x:f>
        <x:v>15.800000000000001</x:v>
      </x:c>
      <x:c r="H9" s="123" t="s">
        <x:v>440</x:v>
      </x:c>
      <x:c r="I9" s="123" t="str">
        <x:f>IF(G9&gt;75,"부적합","적합")</x:f>
        <x:v>적합</x:v>
      </x:c>
      <x:c r="J9" s="848"/>
      <x:c r="K9" s="848"/>
      <x:c r="L9" s="848"/>
      <x:c r="M9" s="848"/>
      <x:c r="N9" s="848"/>
      <x:c r="O9" s="848"/>
      <x:c r="P9" s="848"/>
    </x:row>
    <x:row r="10" spans="1:16" s="47" customFormat="1" ht="46.5" customHeight="1">
      <x:c r="A10" s="848"/>
      <x:c r="B10" s="128" t="str">
        <x:f>'입력2(측정)'!B24</x:f>
        <x:v>체육관</x:v>
      </x:c>
      <x:c r="C10" s="128" t="str">
        <x:f>'입력2(측정)'!C24</x:f>
        <x:v>13:38 ~ 13:48</x:v>
      </x:c>
      <x:c r="D10" s="328">
        <x:f>'입력2(측정)'!D24</x:f>
        <x:v>10</x:v>
      </x:c>
      <x:c r="E10" s="124">
        <x:f>'입력2(측정)'!R24</x:f>
        <x:v>23</x:v>
      </x:c>
      <x:c r="F10" s="124">
        <x:f>'입력2(측정)'!S24</x:f>
        <x:v>27</x:v>
      </x:c>
      <x:c r="G10" s="124">
        <x:f>'입력2(측정)'!T24</x:f>
        <x:v>24.899999999999999</x:v>
      </x:c>
      <x:c r="H10" s="123" t="s">
        <x:v>500</x:v>
      </x:c>
      <x:c r="I10" s="123" t="str">
        <x:f>IF(G10&gt;150,"부적합","적합")</x:f>
        <x:v>적합</x:v>
      </x:c>
      <x:c r="J10" s="848"/>
      <x:c r="K10" s="848"/>
      <x:c r="L10" s="848"/>
      <x:c r="M10" s="848"/>
      <x:c r="N10" s="848"/>
      <x:c r="O10" s="848"/>
      <x:c r="P10" s="848"/>
    </x:row>
    <x:row r="11" spans="1:16" s="47" customFormat="1" ht="46.5" customHeight="1">
      <x:c r="A11" s="849"/>
      <x:c r="B11" s="128" t="s">
        <x:v>204</x:v>
      </x:c>
      <x:c r="C11" s="128" t="s">
        <x:v>204</x:v>
      </x:c>
      <x:c r="D11" s="328" t="s">
        <x:v>204</x:v>
      </x:c>
      <x:c r="E11" s="124" t="s">
        <x:v>204</x:v>
      </x:c>
      <x:c r="F11" s="124" t="s">
        <x:v>204</x:v>
      </x:c>
      <x:c r="G11" s="124" t="s">
        <x:v>204</x:v>
      </x:c>
      <x:c r="H11" s="123" t="s">
        <x:v>204</x:v>
      </x:c>
      <x:c r="I11" s="123" t="s">
        <x:v>204</x:v>
      </x:c>
      <x:c r="J11" s="849"/>
      <x:c r="K11" s="849"/>
      <x:c r="L11" s="849"/>
      <x:c r="M11" s="849"/>
      <x:c r="N11" s="849"/>
      <x:c r="O11" s="849"/>
      <x:c r="P11" s="849"/>
    </x:row>
    <x:row r="12" spans="1:16" s="47" customFormat="1" ht="46.5" customHeight="1">
      <x:c r="A12" s="852" t="s">
        <x:v>327</x:v>
      </x:c>
      <x:c r="B12" s="128" t="str">
        <x:f>'입력2(측정)'!B28</x:f>
        <x:v>5층 2-11반</x:v>
      </x:c>
      <x:c r="C12" s="128" t="str">
        <x:f>'입력2(측정)'!C28</x:f>
        <x:v>14:02 ~ 14:12</x:v>
      </x:c>
      <x:c r="D12" s="128">
        <x:f>'입력2(측정)'!D28</x:f>
        <x:v>5</x:v>
      </x:c>
      <x:c r="E12" s="124">
        <x:f>'입력2(측정)'!R28</x:f>
        <x:v>10</x:v>
      </x:c>
      <x:c r="F12" s="124">
        <x:f>'입력2(측정)'!S28</x:f>
        <x:v>12</x:v>
      </x:c>
      <x:c r="G12" s="124">
        <x:f>'입력2(측정)'!T28</x:f>
        <x:v>10.800000000000001</x:v>
      </x:c>
      <x:c r="H12" s="123" t="s">
        <x:v>435</x:v>
      </x:c>
      <x:c r="I12" s="123" t="str">
        <x:f>IF(G12&gt;35,"부적합","적합")</x:f>
        <x:v>적합</x:v>
      </x:c>
      <x:c r="J12" s="847" t="s">
        <x:v>79</x:v>
      </x:c>
      <x:c r="K12" s="847" t="s">
        <x:v>86</x:v>
      </x:c>
      <x:c r="L12" s="847" t="s">
        <x:v>486</x:v>
      </x:c>
      <x:c r="M12" s="847" t="s">
        <x:v>356</x:v>
      </x:c>
      <x:c r="N12" s="847" t="s">
        <x:v>520</x:v>
      </x:c>
      <x:c r="O12" s="847" t="s">
        <x:v>85</x:v>
      </x:c>
      <x:c r="P12" s="847" t="s">
        <x:v>225</x:v>
      </x:c>
    </x:row>
    <x:row r="13" spans="1:16" s="47" customFormat="1" ht="46.5" customHeight="1">
      <x:c r="A13" s="852"/>
      <x:c r="B13" s="128" t="str">
        <x:f>'입력2(측정)'!B29</x:f>
        <x:v>4층 2-4반</x:v>
      </x:c>
      <x:c r="C13" s="128" t="str">
        <x:f>'입력2(측정)'!C29</x:f>
        <x:v>14:13 ~ 14:23</x:v>
      </x:c>
      <x:c r="D13" s="128">
        <x:f>'입력2(측정)'!D29</x:f>
        <x:v>5</x:v>
      </x:c>
      <x:c r="E13" s="124">
        <x:f>'입력2(측정)'!R29</x:f>
        <x:v>15</x:v>
      </x:c>
      <x:c r="F13" s="124">
        <x:f>'입력2(측정)'!S29</x:f>
        <x:v>17</x:v>
      </x:c>
      <x:c r="G13" s="124">
        <x:f>'입력2(측정)'!T29</x:f>
        <x:v>15.800000000000001</x:v>
      </x:c>
      <x:c r="H13" s="123" t="s">
        <x:v>435</x:v>
      </x:c>
      <x:c r="I13" s="123" t="str">
        <x:f>IF(G13&gt;35,"부적합","적합")</x:f>
        <x:v>적합</x:v>
      </x:c>
      <x:c r="J13" s="848"/>
      <x:c r="K13" s="848"/>
      <x:c r="L13" s="848"/>
      <x:c r="M13" s="848"/>
      <x:c r="N13" s="848"/>
      <x:c r="O13" s="848"/>
      <x:c r="P13" s="848"/>
    </x:row>
    <x:row r="14" spans="1:16" s="47" customFormat="1" ht="46.5" customHeight="1">
      <x:c r="A14" s="852"/>
      <x:c r="B14" s="128" t="str">
        <x:f>'입력2(측정)'!B30</x:f>
        <x:v>1층 (도제)회계실무실습실</x:v>
      </x:c>
      <x:c r="C14" s="128" t="str">
        <x:f>'입력2(측정)'!C30</x:f>
        <x:v>15:00 ~ 15:10</x:v>
      </x:c>
      <x:c r="D14" s="128">
        <x:f>'입력2(측정)'!D30</x:f>
        <x:v>5</x:v>
      </x:c>
      <x:c r="E14" s="124">
        <x:f>'입력2(측정)'!R30</x:f>
        <x:v>12</x:v>
      </x:c>
      <x:c r="F14" s="124">
        <x:f>'입력2(측정)'!S30</x:f>
        <x:v>14</x:v>
      </x:c>
      <x:c r="G14" s="124">
        <x:f>'입력2(측정)'!T30</x:f>
        <x:v>13.199999999999999</x:v>
      </x:c>
      <x:c r="H14" s="123" t="s">
        <x:v>435</x:v>
      </x:c>
      <x:c r="I14" s="123" t="str">
        <x:f>IF(G14&gt;35,"부적합","적합")</x:f>
        <x:v>적합</x:v>
      </x:c>
      <x:c r="J14" s="848"/>
      <x:c r="K14" s="848"/>
      <x:c r="L14" s="848"/>
      <x:c r="M14" s="848"/>
      <x:c r="N14" s="848"/>
      <x:c r="O14" s="848"/>
      <x:c r="P14" s="848"/>
    </x:row>
    <x:row r="15" spans="1:16" s="47" customFormat="1" ht="46.5" customHeight="1">
      <x:c r="A15" s="852"/>
      <x:c r="B15" s="128" t="s">
        <x:v>204</x:v>
      </x:c>
      <x:c r="C15" s="128" t="s">
        <x:v>204</x:v>
      </x:c>
      <x:c r="D15" s="328" t="s">
        <x:v>204</x:v>
      </x:c>
      <x:c r="E15" s="124" t="s">
        <x:v>204</x:v>
      </x:c>
      <x:c r="F15" s="124" t="s">
        <x:v>204</x:v>
      </x:c>
      <x:c r="G15" s="124" t="s">
        <x:v>204</x:v>
      </x:c>
      <x:c r="H15" s="123" t="s">
        <x:v>204</x:v>
      </x:c>
      <x:c r="I15" s="123" t="s">
        <x:v>204</x:v>
      </x:c>
      <x:c r="J15" s="848"/>
      <x:c r="K15" s="848"/>
      <x:c r="L15" s="848"/>
      <x:c r="M15" s="848"/>
      <x:c r="N15" s="848"/>
      <x:c r="O15" s="848"/>
      <x:c r="P15" s="848"/>
    </x:row>
    <x:row r="16" spans="1:16" s="47" customFormat="1" ht="46.5" customHeight="1">
      <x:c r="A16" s="852"/>
      <x:c r="B16" s="128" t="str">
        <x:f>'입력2(측정)'!B32</x:f>
        <x:v>급식시설</x:v>
      </x:c>
      <x:c r="C16" s="128" t="str">
        <x:f>'입력2(측정)'!C32</x:f>
        <x:v>14:46 ~ 14:56</x:v>
      </x:c>
      <x:c r="D16" s="128">
        <x:f>'입력2(측정)'!D32</x:f>
        <x:v>5</x:v>
      </x:c>
      <x:c r="E16" s="124">
        <x:f>'입력2(측정)'!R32</x:f>
        <x:v>13</x:v>
      </x:c>
      <x:c r="F16" s="124">
        <x:f>'입력2(측정)'!S32</x:f>
        <x:v>17</x:v>
      </x:c>
      <x:c r="G16" s="124">
        <x:f>'입력2(측정)'!T32</x:f>
        <x:v>14.800000000000001</x:v>
      </x:c>
      <x:c r="H16" s="123" t="s">
        <x:v>435</x:v>
      </x:c>
      <x:c r="I16" s="123" t="str">
        <x:f>IF(G16&gt;35,"부적합","적합")</x:f>
        <x:v>적합</x:v>
      </x:c>
      <x:c r="J16" s="849"/>
      <x:c r="K16" s="849"/>
      <x:c r="L16" s="849"/>
      <x:c r="M16" s="849"/>
      <x:c r="N16" s="849"/>
      <x:c r="O16" s="849"/>
      <x:c r="P16" s="849"/>
    </x:row>
    <x:row r="17" spans="1:16" s="47" customFormat="1" ht="46.5" customHeight="1">
      <x:c r="A17" s="847" t="s">
        <x:v>355</x:v>
      </x:c>
      <x:c r="B17" s="128" t="str">
        <x:f>'입력2(측정)'!B33</x:f>
        <x:v>5층 2-11반</x:v>
      </x:c>
      <x:c r="C17" s="128" t="str">
        <x:f>'입력2(측정)'!C33</x:f>
        <x:v>14:02 ~ 14:12</x:v>
      </x:c>
      <x:c r="D17" s="328">
        <x:f>'입력2(측정)'!D33</x:f>
        <x:v>3</x:v>
      </x:c>
      <x:c r="E17" s="124">
        <x:f>'입력2(측정)'!R33</x:f>
        <x:v>786</x:v>
      </x:c>
      <x:c r="F17" s="124">
        <x:f>'입력2(측정)'!S33</x:f>
        <x:v>842</x:v>
      </x:c>
      <x:c r="G17" s="124">
        <x:f>'입력2(측정)'!T33</x:f>
        <x:v>814.66666666666663</x:v>
      </x:c>
      <x:c r="H17" s="123" t="s">
        <x:v>459</x:v>
      </x:c>
      <x:c r="I17" s="123" t="str">
        <x:f>IF(G17&gt;1000,"부적합","적합")</x:f>
        <x:v>적합</x:v>
      </x:c>
      <x:c r="J17" s="847" t="s">
        <x:v>79</x:v>
      </x:c>
      <x:c r="K17" s="847" t="s">
        <x:v>86</x:v>
      </x:c>
      <x:c r="L17" s="847" t="s">
        <x:v>486</x:v>
      </x:c>
      <x:c r="M17" s="847" t="s">
        <x:v>356</x:v>
      </x:c>
      <x:c r="N17" s="847" t="s">
        <x:v>520</x:v>
      </x:c>
      <x:c r="O17" s="847" t="s">
        <x:v>160</x:v>
      </x:c>
      <x:c r="P17" s="847" t="s">
        <x:v>225</x:v>
      </x:c>
    </x:row>
    <x:row r="18" spans="1:16" s="47" customFormat="1" ht="46.5" customHeight="1">
      <x:c r="A18" s="848"/>
      <x:c r="B18" s="128" t="str">
        <x:f>'입력2(측정)'!B34</x:f>
        <x:v>4층 2-4반</x:v>
      </x:c>
      <x:c r="C18" s="128" t="str">
        <x:f>'입력2(측정)'!C34</x:f>
        <x:v>14:13 ~ 14:23</x:v>
      </x:c>
      <x:c r="D18" s="328">
        <x:f>'입력2(측정)'!D34</x:f>
        <x:v>3</x:v>
      </x:c>
      <x:c r="E18" s="124">
        <x:f>'입력2(측정)'!R34</x:f>
        <x:v>763</x:v>
      </x:c>
      <x:c r="F18" s="124">
        <x:f>'입력2(측정)'!S34</x:f>
        <x:v>843</x:v>
      </x:c>
      <x:c r="G18" s="124">
        <x:f>'입력2(측정)'!T34</x:f>
        <x:v>808.33333333333337</x:v>
      </x:c>
      <x:c r="H18" s="123" t="s">
        <x:v>459</x:v>
      </x:c>
      <x:c r="I18" s="123" t="str">
        <x:f t="shared" ref="I18:I21" si="0">IF(G18&gt;1000,"부적합","적합")</x:f>
        <x:v>적합</x:v>
      </x:c>
      <x:c r="J18" s="848"/>
      <x:c r="K18" s="848"/>
      <x:c r="L18" s="848"/>
      <x:c r="M18" s="848"/>
      <x:c r="N18" s="848"/>
      <x:c r="O18" s="848"/>
      <x:c r="P18" s="848"/>
    </x:row>
    <x:row r="19" spans="1:16" s="47" customFormat="1" ht="46.5" customHeight="1">
      <x:c r="A19" s="848"/>
      <x:c r="B19" s="128" t="str">
        <x:f>'입력2(측정)'!B35</x:f>
        <x:v>1층 (도제)회계실무실습실</x:v>
      </x:c>
      <x:c r="C19" s="128" t="str">
        <x:f>'입력2(측정)'!C35</x:f>
        <x:v>15:00 ~ 15:10</x:v>
      </x:c>
      <x:c r="D19" s="328">
        <x:f>'입력2(측정)'!D35</x:f>
        <x:v>3</x:v>
      </x:c>
      <x:c r="E19" s="124">
        <x:f>'입력2(측정)'!R35</x:f>
        <x:v>712</x:v>
      </x:c>
      <x:c r="F19" s="124">
        <x:f>'입력2(측정)'!S35</x:f>
        <x:v>772</x:v>
      </x:c>
      <x:c r="G19" s="124">
        <x:f>'입력2(측정)'!T35</x:f>
        <x:v>740</x:v>
      </x:c>
      <x:c r="H19" s="123" t="s">
        <x:v>459</x:v>
      </x:c>
      <x:c r="I19" s="123" t="str">
        <x:f t="shared" si="0"/>
        <x:v>적합</x:v>
      </x:c>
      <x:c r="J19" s="848"/>
      <x:c r="K19" s="848"/>
      <x:c r="L19" s="848"/>
      <x:c r="M19" s="848"/>
      <x:c r="N19" s="848"/>
      <x:c r="O19" s="848"/>
      <x:c r="P19" s="848"/>
    </x:row>
    <x:row r="20" spans="1:16" s="47" customFormat="1" ht="46.5" customHeight="1">
      <x:c r="A20" s="848"/>
      <x:c r="B20" s="128" t="s">
        <x:v>204</x:v>
      </x:c>
      <x:c r="C20" s="128" t="s">
        <x:v>204</x:v>
      </x:c>
      <x:c r="D20" s="328" t="s">
        <x:v>204</x:v>
      </x:c>
      <x:c r="E20" s="124" t="s">
        <x:v>204</x:v>
      </x:c>
      <x:c r="F20" s="124" t="s">
        <x:v>204</x:v>
      </x:c>
      <x:c r="G20" s="124" t="s">
        <x:v>204</x:v>
      </x:c>
      <x:c r="H20" s="123" t="s">
        <x:v>204</x:v>
      </x:c>
      <x:c r="I20" s="123" t="s">
        <x:v>204</x:v>
      </x:c>
      <x:c r="J20" s="848"/>
      <x:c r="K20" s="848"/>
      <x:c r="L20" s="848"/>
      <x:c r="M20" s="848"/>
      <x:c r="N20" s="848"/>
      <x:c r="O20" s="848"/>
      <x:c r="P20" s="848"/>
    </x:row>
    <x:row r="21" spans="1:16" s="47" customFormat="1" ht="46.5" customHeight="1">
      <x:c r="A21" s="848"/>
      <x:c r="B21" s="128" t="str">
        <x:f>'입력2(측정)'!B37</x:f>
        <x:v>급식시설</x:v>
      </x:c>
      <x:c r="C21" s="128" t="str">
        <x:f>'입력2(측정)'!C37</x:f>
        <x:v>14:46 ~ 14:56</x:v>
      </x:c>
      <x:c r="D21" s="328">
        <x:f>'입력2(측정)'!D36</x:f>
        <x:v>3</x:v>
      </x:c>
      <x:c r="E21" s="124">
        <x:f>'입력2(측정)'!R37</x:f>
        <x:v>512</x:v>
      </x:c>
      <x:c r="F21" s="124">
        <x:f>'입력2(측정)'!S37</x:f>
        <x:v>603</x:v>
      </x:c>
      <x:c r="G21" s="124">
        <x:f>'입력2(측정)'!T37</x:f>
        <x:v>565.66666666666663</x:v>
      </x:c>
      <x:c r="H21" s="123" t="s">
        <x:v>459</x:v>
      </x:c>
      <x:c r="I21" s="123" t="str">
        <x:f t="shared" si="0"/>
        <x:v>적합</x:v>
      </x:c>
      <x:c r="J21" s="848"/>
      <x:c r="K21" s="848"/>
      <x:c r="L21" s="848"/>
      <x:c r="M21" s="848"/>
      <x:c r="N21" s="848"/>
      <x:c r="O21" s="848"/>
      <x:c r="P21" s="848"/>
    </x:row>
    <x:row r="22" spans="1:16" s="47" customFormat="1" ht="46.5" hidden="1" customHeight="1">
      <x:c r="A22" s="849"/>
      <x:c r="B22" s="128" t="str">
        <x:f>'입력2(측정)'!B38</x:f>
        <x:v>5층 2-11반</x:v>
      </x:c>
      <x:c r="C22" s="128">
        <x:f>'입력2(측정)'!C25</x:f>
        <x:v>0</x:v>
      </x:c>
      <x:c r="D22" s="328">
        <x:f>'입력2(측정)'!D37</x:f>
        <x:v>3</x:v>
      </x:c>
      <x:c r="E22" s="124">
        <x:f>'입력2(측정)'!R37</x:f>
        <x:v>512</x:v>
      </x:c>
      <x:c r="F22" s="124">
        <x:f>'입력2(측정)'!S37</x:f>
        <x:v>603</x:v>
      </x:c>
      <x:c r="G22" s="124">
        <x:f>'입력2(측정)'!T38</x:f>
        <x:v>1.9166666666666667</x:v>
      </x:c>
      <x:c r="H22" s="123" t="s">
        <x:v>459</x:v>
      </x:c>
      <x:c r="I22" s="123" t="str">
        <x:f>IF(G22&gt;1000,"부적합","적합")</x:f>
        <x:v>적합</x:v>
      </x:c>
      <x:c r="J22" s="849"/>
      <x:c r="K22" s="849"/>
      <x:c r="L22" s="849"/>
      <x:c r="M22" s="849"/>
      <x:c r="N22" s="849"/>
      <x:c r="O22" s="849"/>
      <x:c r="P22" s="849"/>
    </x:row>
    <x:row r="23" spans="1:16" s="47" customFormat="1" ht="46.5" customHeight="1">
      <x:c r="A23" s="847" t="s">
        <x:v>323</x:v>
      </x:c>
      <x:c r="B23" s="128" t="str">
        <x:f>'입력2(측정)'!B67</x:f>
        <x:v>5층 1-9반</x:v>
      </x:c>
      <x:c r="C23" s="128" t="str">
        <x:f>'입력2(측정)'!C67</x:f>
        <x:v>13:03 ~ 13:13</x:v>
      </x:c>
      <x:c r="D23" s="328">
        <x:f>'입력2(측정)'!D67</x:f>
        <x:v>3</x:v>
      </x:c>
      <x:c r="E23" s="504">
        <x:f>'입력2(측정)'!R67</x:f>
        <x:v>27</x:v>
      </x:c>
      <x:c r="F23" s="504">
        <x:f>'입력2(측정)'!S67</x:f>
        <x:v>33</x:v>
      </x:c>
      <x:c r="G23" s="504">
        <x:f>'입력2(측정)'!T67</x:f>
        <x:v>30.666666666666668</x:v>
      </x:c>
      <x:c r="H23" s="123" t="s">
        <x:v>499</x:v>
      </x:c>
      <x:c r="I23" s="123" t="str">
        <x:f t="shared" ref="I23:I30" si="1">IF(G23&gt;80,"부적합","적합")</x:f>
        <x:v>적합</x:v>
      </x:c>
      <x:c r="J23" s="847" t="s">
        <x:v>79</x:v>
      </x:c>
      <x:c r="K23" s="847" t="s">
        <x:v>86</x:v>
      </x:c>
      <x:c r="L23" s="847" t="s">
        <x:v>486</x:v>
      </x:c>
      <x:c r="M23" s="847" t="s">
        <x:v>356</x:v>
      </x:c>
      <x:c r="N23" s="847" t="s">
        <x:v>520</x:v>
      </x:c>
      <x:c r="O23" s="847" t="s">
        <x:v>110</x:v>
      </x:c>
      <x:c r="P23" s="847" t="s">
        <x:v>225</x:v>
      </x:c>
    </x:row>
    <x:row r="24" spans="1:16" s="47" customFormat="1" ht="46.5" customHeight="1">
      <x:c r="A24" s="848"/>
      <x:c r="B24" s="128" t="str">
        <x:f>'입력2(측정)'!B68</x:f>
        <x:v>4층 1-7반</x:v>
      </x:c>
      <x:c r="C24" s="128" t="str">
        <x:f>'입력2(측정)'!C68</x:f>
        <x:v>13:15 ~ 13:25</x:v>
      </x:c>
      <x:c r="D24" s="328">
        <x:f>'입력2(측정)'!D68</x:f>
        <x:v>3</x:v>
      </x:c>
      <x:c r="E24" s="504">
        <x:f>'입력2(측정)'!R68</x:f>
        <x:v>40</x:v>
      </x:c>
      <x:c r="F24" s="504">
        <x:f>'입력2(측정)'!S68</x:f>
        <x:v>45</x:v>
      </x:c>
      <x:c r="G24" s="504">
        <x:f>'입력2(측정)'!T68</x:f>
        <x:v>43</x:v>
      </x:c>
      <x:c r="H24" s="123" t="s">
        <x:v>499</x:v>
      </x:c>
      <x:c r="I24" s="123" t="str">
        <x:f t="shared" si="1"/>
        <x:v>적합</x:v>
      </x:c>
      <x:c r="J24" s="848"/>
      <x:c r="K24" s="848"/>
      <x:c r="L24" s="848"/>
      <x:c r="M24" s="848"/>
      <x:c r="N24" s="848"/>
      <x:c r="O24" s="848"/>
      <x:c r="P24" s="848"/>
    </x:row>
    <x:row r="25" spans="1:16" s="47" customFormat="1" ht="46.5" customHeight="1">
      <x:c r="A25" s="848"/>
      <x:c r="B25" s="128" t="str">
        <x:f>'입력2(측정)'!B69</x:f>
        <x:v>2층 (도제)세무실무실습실</x:v>
      </x:c>
      <x:c r="C25" s="128" t="str">
        <x:f>'입력2(측정)'!C69</x:f>
        <x:v>13:26 ~ 13:36</x:v>
      </x:c>
      <x:c r="D25" s="328">
        <x:f>'입력2(측정)'!D69</x:f>
        <x:v>3</x:v>
      </x:c>
      <x:c r="E25" s="504">
        <x:f>'입력2(측정)'!R69</x:f>
        <x:v>32</x:v>
      </x:c>
      <x:c r="F25" s="504">
        <x:f>'입력2(측정)'!S69</x:f>
        <x:v>36</x:v>
      </x:c>
      <x:c r="G25" s="504">
        <x:f>'입력2(측정)'!T69</x:f>
        <x:v>34</x:v>
      </x:c>
      <x:c r="H25" s="123" t="s">
        <x:v>499</x:v>
      </x:c>
      <x:c r="I25" s="123" t="str">
        <x:f t="shared" si="1"/>
        <x:v>적합</x:v>
      </x:c>
      <x:c r="J25" s="848"/>
      <x:c r="K25" s="848"/>
      <x:c r="L25" s="848"/>
      <x:c r="M25" s="848"/>
      <x:c r="N25" s="848"/>
      <x:c r="O25" s="848"/>
      <x:c r="P25" s="848"/>
    </x:row>
    <x:row r="26" spans="1:16" s="47" customFormat="1" ht="46.5" customHeight="1">
      <x:c r="A26" s="848"/>
      <x:c r="B26" s="128" t="s">
        <x:v>204</x:v>
      </x:c>
      <x:c r="C26" s="128" t="s">
        <x:v>204</x:v>
      </x:c>
      <x:c r="D26" s="328" t="s">
        <x:v>204</x:v>
      </x:c>
      <x:c r="E26" s="124" t="s">
        <x:v>204</x:v>
      </x:c>
      <x:c r="F26" s="124" t="s">
        <x:v>204</x:v>
      </x:c>
      <x:c r="G26" s="124" t="s">
        <x:v>204</x:v>
      </x:c>
      <x:c r="H26" s="123" t="s">
        <x:v>204</x:v>
      </x:c>
      <x:c r="I26" s="123" t="s">
        <x:v>204</x:v>
      </x:c>
      <x:c r="J26" s="848"/>
      <x:c r="K26" s="848"/>
      <x:c r="L26" s="848"/>
      <x:c r="M26" s="848"/>
      <x:c r="N26" s="848"/>
      <x:c r="O26" s="848"/>
      <x:c r="P26" s="848"/>
    </x:row>
    <x:row r="27" spans="1:16" s="47" customFormat="1" ht="46.5" customHeight="1">
      <x:c r="A27" s="849"/>
      <x:c r="B27" s="128" t="str">
        <x:f>'입력2(측정)'!B71</x:f>
        <x:v>급식시설</x:v>
      </x:c>
      <x:c r="C27" s="128" t="str">
        <x:f>'입력2(측정)'!C71</x:f>
        <x:v>14:46 ~ 14:56</x:v>
      </x:c>
      <x:c r="D27" s="328">
        <x:f>'입력2(측정)'!D71</x:f>
        <x:v>3</x:v>
      </x:c>
      <x:c r="E27" s="504">
        <x:f>'입력2(측정)'!R71</x:f>
        <x:v>59</x:v>
      </x:c>
      <x:c r="F27" s="504">
        <x:f>'입력2(측정)'!S71</x:f>
        <x:v>63</x:v>
      </x:c>
      <x:c r="G27" s="504">
        <x:f>'입력2(측정)'!T71</x:f>
        <x:v>60.666666666666664</x:v>
      </x:c>
      <x:c r="H27" s="123" t="s">
        <x:v>499</x:v>
      </x:c>
      <x:c r="I27" s="123" t="str">
        <x:f t="shared" si="1"/>
        <x:v>적합</x:v>
      </x:c>
      <x:c r="J27" s="849"/>
      <x:c r="K27" s="849"/>
      <x:c r="L27" s="849"/>
      <x:c r="M27" s="849"/>
      <x:c r="N27" s="849"/>
      <x:c r="O27" s="849"/>
      <x:c r="P27" s="849"/>
    </x:row>
    <x:row r="28" spans="1:16" s="47" customFormat="1" ht="46.5" customHeight="1">
      <x:c r="A28" s="847" t="s">
        <x:v>513</x:v>
      </x:c>
      <x:c r="B28" s="128" t="str">
        <x:f>'입력2(측정)'!B112</x:f>
        <x:v>1층 1-12반</x:v>
      </x:c>
      <x:c r="C28" s="128" t="str">
        <x:f>'입력2(측정)'!C112</x:f>
        <x:v>13:12 ~ 14:12</x:v>
      </x:c>
      <x:c r="D28" s="329">
        <x:v>2</x:v>
      </x:c>
      <x:c r="E28" s="505">
        <x:f>'입력2(측정)'!R112</x:f>
        <x:v>14.303684869726011</x:v>
      </x:c>
      <x:c r="F28" s="505">
        <x:f>'입력2(측정)'!S112</x:f>
        <x:v>16.788361941885899</x:v>
      </x:c>
      <x:c r="G28" s="505">
        <x:f>'입력2(측정)'!T112</x:f>
        <x:v>15.546023405805954</x:v>
      </x:c>
      <x:c r="H28" s="123" t="s">
        <x:v>499</x:v>
      </x:c>
      <x:c r="I28" s="123" t="str">
        <x:f t="shared" si="1"/>
        <x:v>적합</x:v>
      </x:c>
      <x:c r="J28" s="854" t="s">
        <x:v>204</x:v>
      </x:c>
      <x:c r="K28" s="854" t="s">
        <x:v>204</x:v>
      </x:c>
      <x:c r="L28" s="854" t="s">
        <x:v>204</x:v>
      </x:c>
      <x:c r="M28" s="852" t="s">
        <x:v>204</x:v>
      </x:c>
      <x:c r="N28" s="854" t="s">
        <x:v>204</x:v>
      </x:c>
      <x:c r="O28" s="855" t="s">
        <x:v>204</x:v>
      </x:c>
      <x:c r="P28" s="854"/>
    </x:row>
    <x:row r="29" spans="1:16" s="47" customFormat="1" ht="46.5" customHeight="1">
      <x:c r="A29" s="848"/>
      <x:c r="B29" s="128" t="str">
        <x:f>'입력2(측정)'!B113</x:f>
        <x:v>2층 2-12반</x:v>
      </x:c>
      <x:c r="C29" s="128" t="str">
        <x:f>'입력2(측정)'!C113</x:f>
        <x:v>14:05 ~ 15:05</x:v>
      </x:c>
      <x:c r="D29" s="329">
        <x:v>2</x:v>
      </x:c>
      <x:c r="E29" s="505">
        <x:f>'입력2(측정)'!R113</x:f>
        <x:v>7.7332291381190315</x:v>
      </x:c>
      <x:c r="F29" s="505">
        <x:f>'입력2(측정)'!S113</x:f>
        <x:v>9.5305230731706221</x:v>
      </x:c>
      <x:c r="G29" s="505">
        <x:f>'입력2(측정)'!T113</x:f>
        <x:v>8.6318761056448263</x:v>
      </x:c>
      <x:c r="H29" s="123" t="s">
        <x:v>499</x:v>
      </x:c>
      <x:c r="I29" s="123" t="str">
        <x:f t="shared" si="1"/>
        <x:v>적합</x:v>
      </x:c>
      <x:c r="J29" s="854"/>
      <x:c r="K29" s="854"/>
      <x:c r="L29" s="854"/>
      <x:c r="M29" s="852"/>
      <x:c r="N29" s="854"/>
      <x:c r="O29" s="856"/>
      <x:c r="P29" s="854"/>
    </x:row>
    <x:row r="30" spans="1:16" s="47" customFormat="1" ht="46.5" customHeight="1">
      <x:c r="A30" s="848"/>
      <x:c r="B30" s="128" t="str">
        <x:f>'입력2(측정)'!B114</x:f>
        <x:v>1층 스포티존</x:v>
      </x:c>
      <x:c r="C30" s="128" t="str">
        <x:f>'입력2(측정)'!C114</x:f>
        <x:v>13:00 ~ 14:00</x:v>
      </x:c>
      <x:c r="D30" s="329">
        <x:v>2</x:v>
      </x:c>
      <x:c r="E30" s="505">
        <x:f>'입력2(측정)'!R114</x:f>
        <x:v>26.227584291295798</x:v>
      </x:c>
      <x:c r="F30" s="505">
        <x:f>'입력2(측정)'!S114</x:f>
        <x:v>28.577047358936689</x:v>
      </x:c>
      <x:c r="G30" s="505">
        <x:f>'입력2(측정)'!T114</x:f>
        <x:v>27.402315825116244</x:v>
      </x:c>
      <x:c r="H30" s="123" t="s">
        <x:v>499</x:v>
      </x:c>
      <x:c r="I30" s="123" t="str">
        <x:f t="shared" si="1"/>
        <x:v>적합</x:v>
      </x:c>
      <x:c r="J30" s="854"/>
      <x:c r="K30" s="854"/>
      <x:c r="L30" s="854"/>
      <x:c r="M30" s="852"/>
      <x:c r="N30" s="854"/>
      <x:c r="O30" s="855"/>
      <x:c r="P30" s="854"/>
    </x:row>
    <x:row r="31" spans="1:16" s="47" customFormat="1" ht="46.5" customHeight="1">
      <x:c r="A31" s="852" t="s">
        <x:v>365</x:v>
      </x:c>
      <x:c r="B31" s="128" t="str">
        <x:f>'입력2(측정)'!B46</x:f>
        <x:v>5층 2-11반</x:v>
      </x:c>
      <x:c r="C31" s="128" t="str">
        <x:f>'입력2(측정)'!C46</x:f>
        <x:v>14:02 ~ 14:12</x:v>
      </x:c>
      <x:c r="D31" s="328">
        <x:v>1</x:v>
      </x:c>
      <x:c r="E31" s="328" t="s">
        <x:v>204</x:v>
      </x:c>
      <x:c r="F31" s="328" t="s">
        <x:v>204</x:v>
      </x:c>
      <x:c r="G31" s="328">
        <x:f>'입력2(측정)'!Z46</x:f>
        <x:v>80.852562902751416</x:v>
      </x:c>
      <x:c r="H31" s="123" t="s">
        <x:v>393</x:v>
      </x:c>
      <x:c r="I31" s="123" t="str">
        <x:f t="shared" ref="I31:I33" si="2">IF(G31&gt;800,"부적합","적합")</x:f>
        <x:v>적합</x:v>
      </x:c>
      <x:c r="J31" s="852" t="s">
        <x:v>452</x:v>
      </x:c>
      <x:c r="K31" s="852" t="s">
        <x:v>485</x:v>
      </x:c>
      <x:c r="L31" s="852" t="s">
        <x:v>417</x:v>
      </x:c>
      <x:c r="M31" s="852" t="s">
        <x:v>152</x:v>
      </x:c>
      <x:c r="N31" s="852" t="s">
        <x:v>457</x:v>
      </x:c>
      <x:c r="O31" s="852" t="s">
        <x:v>292</x:v>
      </x:c>
      <x:c r="P31" s="852"/>
    </x:row>
    <x:row r="32" spans="1:16" s="47" customFormat="1" ht="46.5" customHeight="1">
      <x:c r="A32" s="852"/>
      <x:c r="B32" s="128" t="str">
        <x:f>'입력2(측정)'!B47</x:f>
        <x:v>4층 2-4반</x:v>
      </x:c>
      <x:c r="C32" s="128" t="str">
        <x:f>'입력2(측정)'!C47</x:f>
        <x:v>14:13 ~ 14:23</x:v>
      </x:c>
      <x:c r="D32" s="328">
        <x:v>1</x:v>
      </x:c>
      <x:c r="E32" s="328" t="s">
        <x:v>204</x:v>
      </x:c>
      <x:c r="F32" s="328" t="s">
        <x:v>204</x:v>
      </x:c>
      <x:c r="G32" s="328">
        <x:f>'입력2(측정)'!Z47</x:f>
        <x:v>242.16029462572683</x:v>
      </x:c>
      <x:c r="H32" s="123" t="s">
        <x:v>393</x:v>
      </x:c>
      <x:c r="I32" s="123" t="str">
        <x:f t="shared" si="2"/>
        <x:v>적합</x:v>
      </x:c>
      <x:c r="J32" s="852"/>
      <x:c r="K32" s="852"/>
      <x:c r="L32" s="852"/>
      <x:c r="M32" s="852"/>
      <x:c r="N32" s="852"/>
      <x:c r="O32" s="852"/>
      <x:c r="P32" s="852"/>
    </x:row>
    <x:row r="33" spans="1:16" s="47" customFormat="1" ht="46.5" customHeight="1">
      <x:c r="A33" s="852"/>
      <x:c r="B33" s="128" t="str">
        <x:f>'입력2(측정)'!B48</x:f>
        <x:v>1층 (도제)회계실무실습실</x:v>
      </x:c>
      <x:c r="C33" s="128" t="str">
        <x:f>'입력2(측정)'!C48</x:f>
        <x:v>15:00 ~ 15:10</x:v>
      </x:c>
      <x:c r="D33" s="328">
        <x:v>1</x:v>
      </x:c>
      <x:c r="E33" s="328" t="s">
        <x:v>204</x:v>
      </x:c>
      <x:c r="F33" s="328" t="s">
        <x:v>204</x:v>
      </x:c>
      <x:c r="G33" s="328">
        <x:f>'입력2(측정)'!Z48</x:f>
        <x:v>30.304173117377232</x:v>
      </x:c>
      <x:c r="H33" s="123" t="s">
        <x:v>393</x:v>
      </x:c>
      <x:c r="I33" s="123" t="str">
        <x:f t="shared" si="2"/>
        <x:v>적합</x:v>
      </x:c>
      <x:c r="J33" s="852"/>
      <x:c r="K33" s="852"/>
      <x:c r="L33" s="852"/>
      <x:c r="M33" s="852"/>
      <x:c r="N33" s="852"/>
      <x:c r="O33" s="852"/>
      <x:c r="P33" s="852"/>
    </x:row>
    <x:row r="34" spans="1:16" s="47" customFormat="1" ht="46.5" customHeight="1">
      <x:c r="A34" s="852"/>
      <x:c r="B34" s="128" t="s">
        <x:v>204</x:v>
      </x:c>
      <x:c r="C34" s="128" t="s">
        <x:v>204</x:v>
      </x:c>
      <x:c r="D34" s="328" t="s">
        <x:v>204</x:v>
      </x:c>
      <x:c r="E34" s="124" t="s">
        <x:v>204</x:v>
      </x:c>
      <x:c r="F34" s="124" t="s">
        <x:v>204</x:v>
      </x:c>
      <x:c r="G34" s="124" t="s">
        <x:v>204</x:v>
      </x:c>
      <x:c r="H34" s="123" t="s">
        <x:v>204</x:v>
      </x:c>
      <x:c r="I34" s="123" t="s">
        <x:v>204</x:v>
      </x:c>
      <x:c r="J34" s="852"/>
      <x:c r="K34" s="852"/>
      <x:c r="L34" s="852"/>
      <x:c r="M34" s="852"/>
      <x:c r="N34" s="852"/>
      <x:c r="O34" s="852"/>
      <x:c r="P34" s="852"/>
    </x:row>
    <x:row r="35" spans="1:16" s="47" customFormat="1" ht="46.5" customHeight="1">
      <x:c r="A35" s="847" t="s">
        <x:v>366</x:v>
      </x:c>
      <x:c r="B35" s="128" t="str">
        <x:f>'입력2(측정)'!B52</x:f>
        <x:v>급식시설</x:v>
      </x:c>
      <x:c r="C35" s="128" t="str">
        <x:f>'입력2(측정)'!C52</x:f>
        <x:v>14:46 ~ 14:56</x:v>
      </x:c>
      <x:c r="D35" s="329">
        <x:f>'입력2(측정)'!D52</x:f>
        <x:v>3</x:v>
      </x:c>
      <x:c r="E35" s="329">
        <x:f>'입력2(측정)'!R52</x:f>
        <x:v>0</x:v>
      </x:c>
      <x:c r="F35" s="329">
        <x:f>'입력2(측정)'!S52</x:f>
        <x:v>0</x:v>
      </x:c>
      <x:c r="G35" s="329">
        <x:f>'입력2(측정)'!T52</x:f>
        <x:v>0</x:v>
      </x:c>
      <x:c r="H35" s="123" t="s">
        <x:v>362</x:v>
      </x:c>
      <x:c r="I35" s="123" t="str">
        <x:f t="shared" ref="I35:I39" si="3">IF(G35&gt;10,"부적합","적합")</x:f>
        <x:v>적합</x:v>
      </x:c>
      <x:c r="J35" s="847" t="s">
        <x:v>510</x:v>
      </x:c>
      <x:c r="K35" s="847" t="s">
        <x:v>121</x:v>
      </x:c>
      <x:c r="L35" s="847" t="s">
        <x:v>457</x:v>
      </x:c>
      <x:c r="M35" s="847" t="s">
        <x:v>204</x:v>
      </x:c>
      <x:c r="N35" s="847" t="s">
        <x:v>204</x:v>
      </x:c>
      <x:c r="O35" s="847" t="s">
        <x:v>134</x:v>
      </x:c>
      <x:c r="P35" s="847"/>
    </x:row>
    <x:row r="36" spans="1:16" s="47" customFormat="1" ht="46.5" customHeight="1">
      <x:c r="A36" s="848"/>
      <x:c r="B36" s="128" t="str">
        <x:f>'입력2(측정)'!B53</x:f>
        <x:v>보건실</x:v>
      </x:c>
      <x:c r="C36" s="128" t="str">
        <x:f>'입력2(측정)'!C53</x:f>
        <x:v>13:49 ~ 13:59</x:v>
      </x:c>
      <x:c r="D36" s="329">
        <x:f>'입력2(측정)'!D53</x:f>
        <x:v>3</x:v>
      </x:c>
      <x:c r="E36" s="329">
        <x:f>'입력2(측정)'!R53</x:f>
        <x:v>0</x:v>
      </x:c>
      <x:c r="F36" s="329">
        <x:f>'입력2(측정)'!S53</x:f>
        <x:v>1</x:v>
      </x:c>
      <x:c r="G36" s="329">
        <x:f>'입력2(측정)'!T53</x:f>
        <x:v>0.66666666666666663</x:v>
      </x:c>
      <x:c r="H36" s="123" t="s">
        <x:v>362</x:v>
      </x:c>
      <x:c r="I36" s="123" t="str">
        <x:f t="shared" si="3"/>
        <x:v>적합</x:v>
      </x:c>
      <x:c r="J36" s="848"/>
      <x:c r="K36" s="848"/>
      <x:c r="L36" s="848"/>
      <x:c r="M36" s="848"/>
      <x:c r="N36" s="848"/>
      <x:c r="O36" s="848"/>
      <x:c r="P36" s="848"/>
    </x:row>
    <x:row r="37" spans="1:16" s="47" customFormat="1" ht="46.5" customHeight="1">
      <x:c r="A37" s="848"/>
      <x:c r="B37" s="128" t="s">
        <x:v>204</x:v>
      </x:c>
      <x:c r="C37" s="128" t="s">
        <x:v>204</x:v>
      </x:c>
      <x:c r="D37" s="328" t="s">
        <x:v>204</x:v>
      </x:c>
      <x:c r="E37" s="124" t="s">
        <x:v>204</x:v>
      </x:c>
      <x:c r="F37" s="124" t="s">
        <x:v>204</x:v>
      </x:c>
      <x:c r="G37" s="124" t="s">
        <x:v>204</x:v>
      </x:c>
      <x:c r="H37" s="123" t="s">
        <x:v>204</x:v>
      </x:c>
      <x:c r="I37" s="123" t="s">
        <x:v>204</x:v>
      </x:c>
      <x:c r="J37" s="848"/>
      <x:c r="K37" s="848"/>
      <x:c r="L37" s="848"/>
      <x:c r="M37" s="848"/>
      <x:c r="N37" s="848"/>
      <x:c r="O37" s="848"/>
      <x:c r="P37" s="848"/>
    </x:row>
    <x:row r="38" spans="1:16" s="47" customFormat="1" ht="46.5" customHeight="1">
      <x:c r="A38" s="849"/>
      <x:c r="B38" s="128" t="s">
        <x:v>204</x:v>
      </x:c>
      <x:c r="C38" s="128" t="s">
        <x:v>204</x:v>
      </x:c>
      <x:c r="D38" s="328" t="s">
        <x:v>204</x:v>
      </x:c>
      <x:c r="E38" s="124" t="s">
        <x:v>204</x:v>
      </x:c>
      <x:c r="F38" s="124" t="s">
        <x:v>204</x:v>
      </x:c>
      <x:c r="G38" s="124" t="s">
        <x:v>204</x:v>
      </x:c>
      <x:c r="H38" s="123" t="s">
        <x:v>204</x:v>
      </x:c>
      <x:c r="I38" s="123" t="s">
        <x:v>204</x:v>
      </x:c>
      <x:c r="J38" s="849"/>
      <x:c r="K38" s="849"/>
      <x:c r="L38" s="849"/>
      <x:c r="M38" s="849"/>
      <x:c r="N38" s="849"/>
      <x:c r="O38" s="849"/>
      <x:c r="P38" s="849"/>
    </x:row>
    <x:row r="39" spans="1:16" s="47" customFormat="1" ht="46.5" customHeight="1">
      <x:c r="A39" s="852" t="s">
        <x:v>469</x:v>
      </x:c>
      <x:c r="B39" s="128" t="str">
        <x:f>'입력2(측정)'!B38</x:f>
        <x:v>5층 2-11반</x:v>
      </x:c>
      <x:c r="C39" s="128" t="str">
        <x:f>'입력2(측정)'!C38</x:f>
        <x:v>14:02 ~ 14:12</x:v>
      </x:c>
      <x:c r="D39" s="328">
        <x:v>3</x:v>
      </x:c>
      <x:c r="E39" s="124">
        <x:f>'입력2(측정)'!R38</x:f>
        <x:v>1.8999999999999999</x:v>
      </x:c>
      <x:c r="F39" s="124">
        <x:f>'입력2(측정)'!S38</x:f>
        <x:v>1.9299999999999999</x:v>
      </x:c>
      <x:c r="G39" s="124">
        <x:f>'입력2(측정)'!T38</x:f>
        <x:v>1.9166666666666667</x:v>
      </x:c>
      <x:c r="H39" s="123" t="s">
        <x:v>431</x:v>
      </x:c>
      <x:c r="I39" s="123" t="str">
        <x:f t="shared" si="3"/>
        <x:v>적합</x:v>
      </x:c>
      <x:c r="J39" s="852" t="s">
        <x:v>79</x:v>
      </x:c>
      <x:c r="K39" s="852" t="s">
        <x:v>86</x:v>
      </x:c>
      <x:c r="L39" s="852" t="s">
        <x:v>486</x:v>
      </x:c>
      <x:c r="M39" s="852" t="s">
        <x:v>356</x:v>
      </x:c>
      <x:c r="N39" s="847" t="s">
        <x:v>520</x:v>
      </x:c>
      <x:c r="O39" s="852" t="s">
        <x:v>110</x:v>
      </x:c>
      <x:c r="P39" s="857" t="s">
        <x:v>225</x:v>
      </x:c>
    </x:row>
    <x:row r="40" spans="1:16" s="47" customFormat="1" ht="46.5" customHeight="1">
      <x:c r="A40" s="852"/>
      <x:c r="B40" s="128" t="s">
        <x:v>204</x:v>
      </x:c>
      <x:c r="C40" s="128" t="s">
        <x:v>204</x:v>
      </x:c>
      <x:c r="D40" s="328" t="s">
        <x:v>204</x:v>
      </x:c>
      <x:c r="E40" s="124" t="s">
        <x:v>204</x:v>
      </x:c>
      <x:c r="F40" s="124" t="s">
        <x:v>204</x:v>
      </x:c>
      <x:c r="G40" s="124" t="s">
        <x:v>204</x:v>
      </x:c>
      <x:c r="H40" s="123" t="s">
        <x:v>204</x:v>
      </x:c>
      <x:c r="I40" s="123" t="s">
        <x:v>204</x:v>
      </x:c>
      <x:c r="J40" s="852"/>
      <x:c r="K40" s="852"/>
      <x:c r="L40" s="852"/>
      <x:c r="M40" s="852"/>
      <x:c r="N40" s="848"/>
      <x:c r="O40" s="852"/>
      <x:c r="P40" s="857"/>
    </x:row>
    <x:row r="41" spans="1:16" s="47" customFormat="1" ht="46.5" customHeight="1">
      <x:c r="A41" s="852"/>
      <x:c r="B41" s="128" t="s">
        <x:v>204</x:v>
      </x:c>
      <x:c r="C41" s="128" t="s">
        <x:v>204</x:v>
      </x:c>
      <x:c r="D41" s="328" t="s">
        <x:v>204</x:v>
      </x:c>
      <x:c r="E41" s="124" t="s">
        <x:v>204</x:v>
      </x:c>
      <x:c r="F41" s="124" t="s">
        <x:v>204</x:v>
      </x:c>
      <x:c r="G41" s="124" t="s">
        <x:v>204</x:v>
      </x:c>
      <x:c r="H41" s="123" t="s">
        <x:v>204</x:v>
      </x:c>
      <x:c r="I41" s="123" t="s">
        <x:v>204</x:v>
      </x:c>
      <x:c r="J41" s="852"/>
      <x:c r="K41" s="852"/>
      <x:c r="L41" s="852"/>
      <x:c r="M41" s="852"/>
      <x:c r="N41" s="849"/>
      <x:c r="O41" s="852"/>
      <x:c r="P41" s="857"/>
    </x:row>
    <x:row r="42" spans="1:16" s="47" customFormat="1" ht="46.5" customHeight="1">
      <x:c r="A42" s="852" t="s">
        <x:v>328</x:v>
      </x:c>
      <x:c r="B42" s="128" t="str">
        <x:f>'입력2(측정)'!B41</x:f>
        <x:v>5층 2-11반</x:v>
      </x:c>
      <x:c r="C42" s="128" t="str">
        <x:f>'입력2(측정)'!C41</x:f>
        <x:v>14:02 ~ 14:12</x:v>
      </x:c>
      <x:c r="D42" s="128">
        <x:f>'입력2(측정)'!D41</x:f>
        <x:v>3</x:v>
      </x:c>
      <x:c r="E42" s="125">
        <x:f>'입력2(측정)'!R41</x:f>
        <x:v>0.019</x:v>
      </x:c>
      <x:c r="F42" s="125">
        <x:f>'입력2(측정)'!S41</x:f>
        <x:v>0.021000000000000002</x:v>
      </x:c>
      <x:c r="G42" s="125">
        <x:f>'입력2(측정)'!T41</x:f>
        <x:v>0.020000000000000001</x:v>
      </x:c>
      <x:c r="H42" s="123" t="s">
        <x:v>489</x:v>
      </x:c>
      <x:c r="I42" s="123" t="str">
        <x:f>IF(G42&gt;0.05,"부적합","적합")</x:f>
        <x:v>적합</x:v>
      </x:c>
      <x:c r="J42" s="852" t="s">
        <x:v>79</x:v>
      </x:c>
      <x:c r="K42" s="852" t="s">
        <x:v>86</x:v>
      </x:c>
      <x:c r="L42" s="852" t="s">
        <x:v>486</x:v>
      </x:c>
      <x:c r="M42" s="852" t="s">
        <x:v>356</x:v>
      </x:c>
      <x:c r="N42" s="847" t="s">
        <x:v>520</x:v>
      </x:c>
      <x:c r="O42" s="852" t="s">
        <x:v>110</x:v>
      </x:c>
      <x:c r="P42" s="857" t="s">
        <x:v>225</x:v>
      </x:c>
    </x:row>
    <x:row r="43" spans="1:16" s="47" customFormat="1" ht="46.5" customHeight="1">
      <x:c r="A43" s="852"/>
      <x:c r="B43" s="128" t="s">
        <x:v>204</x:v>
      </x:c>
      <x:c r="C43" s="128" t="s">
        <x:v>204</x:v>
      </x:c>
      <x:c r="D43" s="328" t="s">
        <x:v>204</x:v>
      </x:c>
      <x:c r="E43" s="124" t="s">
        <x:v>204</x:v>
      </x:c>
      <x:c r="F43" s="124" t="s">
        <x:v>204</x:v>
      </x:c>
      <x:c r="G43" s="124" t="s">
        <x:v>204</x:v>
      </x:c>
      <x:c r="H43" s="123" t="s">
        <x:v>204</x:v>
      </x:c>
      <x:c r="I43" s="123" t="s">
        <x:v>204</x:v>
      </x:c>
      <x:c r="J43" s="852"/>
      <x:c r="K43" s="852"/>
      <x:c r="L43" s="852"/>
      <x:c r="M43" s="852"/>
      <x:c r="N43" s="848"/>
      <x:c r="O43" s="852"/>
      <x:c r="P43" s="857"/>
    </x:row>
    <x:row r="44" spans="1:16" s="47" customFormat="1" ht="46.5" customHeight="1">
      <x:c r="A44" s="852"/>
      <x:c r="B44" s="128" t="s">
        <x:v>204</x:v>
      </x:c>
      <x:c r="C44" s="128" t="s">
        <x:v>204</x:v>
      </x:c>
      <x:c r="D44" s="328" t="s">
        <x:v>204</x:v>
      </x:c>
      <x:c r="E44" s="124" t="s">
        <x:v>204</x:v>
      </x:c>
      <x:c r="F44" s="124" t="s">
        <x:v>204</x:v>
      </x:c>
      <x:c r="G44" s="124" t="s">
        <x:v>204</x:v>
      </x:c>
      <x:c r="H44" s="123" t="s">
        <x:v>204</x:v>
      </x:c>
      <x:c r="I44" s="123" t="s">
        <x:v>204</x:v>
      </x:c>
      <x:c r="J44" s="852"/>
      <x:c r="K44" s="852"/>
      <x:c r="L44" s="852"/>
      <x:c r="M44" s="852"/>
      <x:c r="N44" s="849"/>
      <x:c r="O44" s="852"/>
      <x:c r="P44" s="857"/>
    </x:row>
    <x:row r="45" spans="1:16" s="47" customFormat="1" ht="46.5" customHeight="1">
      <x:c r="A45" s="852" t="s">
        <x:v>156</x:v>
      </x:c>
      <x:c r="B45" s="38" t="s">
        <x:v>10</x:v>
      </x:c>
      <x:c r="C45" s="532" t="s">
        <x:v>515</x:v>
      </x:c>
      <x:c r="D45" s="38">
        <x:v>1</x:v>
      </x:c>
      <x:c r="E45" s="124" t="s">
        <x:v>204</x:v>
      </x:c>
      <x:c r="F45" s="124" t="s">
        <x:v>204</x:v>
      </x:c>
      <x:c r="G45" s="124" t="s">
        <x:v>204</x:v>
      </x:c>
      <x:c r="H45" s="126" t="s">
        <x:v>458</x:v>
      </x:c>
      <x:c r="I45" s="126" t="s">
        <x:v>252</x:v>
      </x:c>
      <x:c r="J45" s="858" t="s">
        <x:v>84</x:v>
      </x:c>
      <x:c r="K45" s="860" t="s">
        <x:v>93</x:v>
      </x:c>
      <x:c r="L45" s="860" t="s">
        <x:v>492</x:v>
      </x:c>
      <x:c r="M45" s="860" t="s">
        <x:v>204</x:v>
      </x:c>
      <x:c r="N45" s="860" t="s">
        <x:v>204</x:v>
      </x:c>
      <x:c r="O45" s="860" t="s">
        <x:v>96</x:v>
      </x:c>
      <x:c r="P45" s="860"/>
    </x:row>
    <x:row r="46" spans="1:16" s="47" customFormat="1" ht="46.5" customHeight="1">
      <x:c r="A46" s="852"/>
      <x:c r="B46" s="128">
        <x:f>'입력2(측정)'!B61</x:f>
        <x:v>0</x:v>
      </x:c>
      <x:c r="C46" s="126" t="s">
        <x:v>204</x:v>
      </x:c>
      <x:c r="D46" s="330" t="s">
        <x:v>204</x:v>
      </x:c>
      <x:c r="E46" s="506" t="s">
        <x:v>204</x:v>
      </x:c>
      <x:c r="F46" s="506" t="s">
        <x:v>204</x:v>
      </x:c>
      <x:c r="G46" s="506" t="s">
        <x:v>204</x:v>
      </x:c>
      <x:c r="H46" s="126" t="s">
        <x:v>204</x:v>
      </x:c>
      <x:c r="I46" s="126" t="s">
        <x:v>204</x:v>
      </x:c>
      <x:c r="J46" s="859"/>
      <x:c r="K46" s="860"/>
      <x:c r="L46" s="860"/>
      <x:c r="M46" s="860"/>
      <x:c r="N46" s="860"/>
      <x:c r="O46" s="860"/>
      <x:c r="P46" s="860"/>
    </x:row>
    <x:row r="47" spans="1:16" s="47" customFormat="1" ht="46.5" customHeight="1">
      <x:c r="A47" s="852" t="s">
        <x:v>426</x:v>
      </x:c>
      <x:c r="B47" s="128" t="s">
        <x:v>204</x:v>
      </x:c>
      <x:c r="C47" s="128" t="s">
        <x:v>204</x:v>
      </x:c>
      <x:c r="D47" s="328" t="s">
        <x:v>204</x:v>
      </x:c>
      <x:c r="E47" s="124" t="s">
        <x:v>204</x:v>
      </x:c>
      <x:c r="F47" s="124" t="s">
        <x:v>204</x:v>
      </x:c>
      <x:c r="G47" s="124" t="s">
        <x:v>204</x:v>
      </x:c>
      <x:c r="H47" s="123" t="s">
        <x:v>204</x:v>
      </x:c>
      <x:c r="I47" s="123" t="s">
        <x:v>204</x:v>
      </x:c>
      <x:c r="J47" s="854" t="s">
        <x:v>443</x:v>
      </x:c>
      <x:c r="K47" s="855" t="s">
        <x:v>421</x:v>
      </x:c>
      <x:c r="L47" s="854" t="s">
        <x:v>427</x:v>
      </x:c>
      <x:c r="M47" s="854" t="s">
        <x:v>204</x:v>
      </x:c>
      <x:c r="N47" s="854" t="s">
        <x:v>466</x:v>
      </x:c>
      <x:c r="O47" s="855" t="s">
        <x:v>449</x:v>
      </x:c>
      <x:c r="P47" s="861" t="s">
        <x:v>225</x:v>
      </x:c>
    </x:row>
    <x:row r="48" spans="1:16" s="47" customFormat="1" ht="46.5" customHeight="1">
      <x:c r="A48" s="852"/>
      <x:c r="B48" s="128" t="s">
        <x:v>204</x:v>
      </x:c>
      <x:c r="C48" s="128" t="s">
        <x:v>204</x:v>
      </x:c>
      <x:c r="D48" s="328" t="s">
        <x:v>204</x:v>
      </x:c>
      <x:c r="E48" s="124" t="s">
        <x:v>204</x:v>
      </x:c>
      <x:c r="F48" s="124" t="s">
        <x:v>204</x:v>
      </x:c>
      <x:c r="G48" s="124" t="s">
        <x:v>204</x:v>
      </x:c>
      <x:c r="H48" s="123" t="s">
        <x:v>204</x:v>
      </x:c>
      <x:c r="I48" s="123" t="s">
        <x:v>204</x:v>
      </x:c>
      <x:c r="J48" s="854"/>
      <x:c r="K48" s="856"/>
      <x:c r="L48" s="854"/>
      <x:c r="M48" s="854"/>
      <x:c r="N48" s="854"/>
      <x:c r="O48" s="856"/>
      <x:c r="P48" s="861"/>
    </x:row>
    <x:row r="49" spans="1:16" s="47" customFormat="1" ht="46.5" customHeight="1">
      <x:c r="A49" s="852"/>
      <x:c r="B49" s="128" t="s">
        <x:v>204</x:v>
      </x:c>
      <x:c r="C49" s="128" t="s">
        <x:v>204</x:v>
      </x:c>
      <x:c r="D49" s="328" t="s">
        <x:v>204</x:v>
      </x:c>
      <x:c r="E49" s="124" t="s">
        <x:v>204</x:v>
      </x:c>
      <x:c r="F49" s="124" t="s">
        <x:v>204</x:v>
      </x:c>
      <x:c r="G49" s="124" t="s">
        <x:v>204</x:v>
      </x:c>
      <x:c r="H49" s="123" t="s">
        <x:v>204</x:v>
      </x:c>
      <x:c r="I49" s="123" t="s">
        <x:v>204</x:v>
      </x:c>
      <x:c r="J49" s="854"/>
      <x:c r="K49" s="856"/>
      <x:c r="L49" s="854"/>
      <x:c r="M49" s="854"/>
      <x:c r="N49" s="854"/>
      <x:c r="O49" s="856"/>
      <x:c r="P49" s="861"/>
    </x:row>
    <x:row r="50" spans="1:16" s="47" customFormat="1" ht="46.5" customHeight="1">
      <x:c r="A50" s="852"/>
      <x:c r="B50" s="128" t="s">
        <x:v>204</x:v>
      </x:c>
      <x:c r="C50" s="128" t="s">
        <x:v>204</x:v>
      </x:c>
      <x:c r="D50" s="328" t="s">
        <x:v>204</x:v>
      </x:c>
      <x:c r="E50" s="124" t="s">
        <x:v>204</x:v>
      </x:c>
      <x:c r="F50" s="124" t="s">
        <x:v>204</x:v>
      </x:c>
      <x:c r="G50" s="124" t="s">
        <x:v>204</x:v>
      </x:c>
      <x:c r="H50" s="123" t="s">
        <x:v>204</x:v>
      </x:c>
      <x:c r="I50" s="123" t="s">
        <x:v>204</x:v>
      </x:c>
      <x:c r="J50" s="854"/>
      <x:c r="K50" s="855"/>
      <x:c r="L50" s="854"/>
      <x:c r="M50" s="854"/>
      <x:c r="N50" s="854"/>
      <x:c r="O50" s="855"/>
      <x:c r="P50" s="861"/>
    </x:row>
    <x:row r="51" spans="1:16" s="47" customFormat="1" ht="46.5" customHeight="1">
      <x:c r="A51" s="852"/>
      <x:c r="B51" s="128" t="s">
        <x:v>204</x:v>
      </x:c>
      <x:c r="C51" s="128" t="s">
        <x:v>204</x:v>
      </x:c>
      <x:c r="D51" s="328" t="s">
        <x:v>204</x:v>
      </x:c>
      <x:c r="E51" s="124" t="s">
        <x:v>204</x:v>
      </x:c>
      <x:c r="F51" s="124" t="s">
        <x:v>204</x:v>
      </x:c>
      <x:c r="G51" s="124" t="s">
        <x:v>204</x:v>
      </x:c>
      <x:c r="H51" s="123" t="s">
        <x:v>204</x:v>
      </x:c>
      <x:c r="I51" s="123" t="s">
        <x:v>204</x:v>
      </x:c>
      <x:c r="J51" s="854"/>
      <x:c r="K51" s="856"/>
      <x:c r="L51" s="854"/>
      <x:c r="M51" s="854"/>
      <x:c r="N51" s="854"/>
      <x:c r="O51" s="856"/>
      <x:c r="P51" s="861"/>
    </x:row>
    <x:row r="52" spans="1:16" s="47" customFormat="1" ht="46.5" customHeight="1">
      <x:c r="A52" s="852"/>
      <x:c r="B52" s="128" t="s">
        <x:v>204</x:v>
      </x:c>
      <x:c r="C52" s="128" t="s">
        <x:v>204</x:v>
      </x:c>
      <x:c r="D52" s="328" t="s">
        <x:v>204</x:v>
      </x:c>
      <x:c r="E52" s="124" t="s">
        <x:v>204</x:v>
      </x:c>
      <x:c r="F52" s="124" t="s">
        <x:v>204</x:v>
      </x:c>
      <x:c r="G52" s="124" t="s">
        <x:v>204</x:v>
      </x:c>
      <x:c r="H52" s="123" t="s">
        <x:v>204</x:v>
      </x:c>
      <x:c r="I52" s="123" t="s">
        <x:v>204</x:v>
      </x:c>
      <x:c r="J52" s="854"/>
      <x:c r="K52" s="855"/>
      <x:c r="L52" s="854"/>
      <x:c r="M52" s="854"/>
      <x:c r="N52" s="854"/>
      <x:c r="O52" s="855"/>
      <x:c r="P52" s="861"/>
    </x:row>
    <x:row r="53" spans="1:16" s="47" customFormat="1" ht="42.75" customHeight="1">
      <x:c r="A53" s="852" t="s">
        <x:v>363</x:v>
      </x:c>
      <x:c r="B53" s="128" t="str">
        <x:f>'입력2(측정)'!B63</x:f>
        <x:v>교무실</x:v>
      </x:c>
      <x:c r="C53" s="128" t="str">
        <x:f>'입력2(측정)'!C63</x:f>
        <x:v>14:25 ~ 14:35</x:v>
      </x:c>
      <x:c r="D53" s="128">
        <x:f>'입력2(측정)'!D63</x:f>
        <x:v>3</x:v>
      </x:c>
      <x:c r="E53" s="125">
        <x:f>'입력2(측정)'!R63</x:f>
        <x:v>0.010000000000000001</x:v>
      </x:c>
      <x:c r="F53" s="125">
        <x:f>'입력2(측정)'!S63</x:f>
        <x:v>0.013</x:v>
      </x:c>
      <x:c r="G53" s="125">
        <x:f>'입력2(측정)'!T63</x:f>
        <x:v>0.011666666666666667</x:v>
      </x:c>
      <x:c r="H53" s="123" t="s">
        <x:v>451</x:v>
      </x:c>
      <x:c r="I53" s="123" t="str">
        <x:f>IF(G53&gt;0.06,"부적합","적합")</x:f>
        <x:v>적합</x:v>
      </x:c>
      <x:c r="J53" s="852" t="s">
        <x:v>79</x:v>
      </x:c>
      <x:c r="K53" s="852" t="s">
        <x:v>86</x:v>
      </x:c>
      <x:c r="L53" s="852" t="s">
        <x:v>486</x:v>
      </x:c>
      <x:c r="M53" s="852" t="s">
        <x:v>356</x:v>
      </x:c>
      <x:c r="N53" s="847" t="s">
        <x:v>520</x:v>
      </x:c>
      <x:c r="O53" s="852" t="s">
        <x:v>110</x:v>
      </x:c>
      <x:c r="P53" s="857" t="s">
        <x:v>225</x:v>
      </x:c>
    </x:row>
    <x:row r="54" spans="1:16" s="47" customFormat="1" ht="42.75" customHeight="1">
      <x:c r="A54" s="852"/>
      <x:c r="B54" s="128" t="s">
        <x:v>204</x:v>
      </x:c>
      <x:c r="C54" s="128" t="s">
        <x:v>204</x:v>
      </x:c>
      <x:c r="D54" s="328" t="s">
        <x:v>204</x:v>
      </x:c>
      <x:c r="E54" s="124" t="s">
        <x:v>204</x:v>
      </x:c>
      <x:c r="F54" s="124" t="s">
        <x:v>204</x:v>
      </x:c>
      <x:c r="G54" s="124" t="s">
        <x:v>204</x:v>
      </x:c>
      <x:c r="H54" s="123" t="s">
        <x:v>204</x:v>
      </x:c>
      <x:c r="I54" s="123" t="s">
        <x:v>204</x:v>
      </x:c>
      <x:c r="J54" s="852"/>
      <x:c r="K54" s="852"/>
      <x:c r="L54" s="852"/>
      <x:c r="M54" s="852"/>
      <x:c r="N54" s="848"/>
      <x:c r="O54" s="852"/>
      <x:c r="P54" s="857"/>
    </x:row>
    <x:row r="55" spans="1:16" s="47" customFormat="1" ht="42.75" customHeight="1">
      <x:c r="A55" s="852"/>
      <x:c r="B55" s="128" t="s">
        <x:v>204</x:v>
      </x:c>
      <x:c r="C55" s="128" t="s">
        <x:v>204</x:v>
      </x:c>
      <x:c r="D55" s="328" t="s">
        <x:v>204</x:v>
      </x:c>
      <x:c r="E55" s="124" t="s">
        <x:v>204</x:v>
      </x:c>
      <x:c r="F55" s="124" t="s">
        <x:v>204</x:v>
      </x:c>
      <x:c r="G55" s="124" t="s">
        <x:v>204</x:v>
      </x:c>
      <x:c r="H55" s="123" t="s">
        <x:v>204</x:v>
      </x:c>
      <x:c r="I55" s="123" t="s">
        <x:v>204</x:v>
      </x:c>
      <x:c r="J55" s="852"/>
      <x:c r="K55" s="852"/>
      <x:c r="L55" s="852"/>
      <x:c r="M55" s="852"/>
      <x:c r="N55" s="849"/>
      <x:c r="O55" s="852"/>
      <x:c r="P55" s="857"/>
    </x:row>
    <x:row r="56" spans="1:16" s="47" customFormat="1" ht="42.75" customHeight="1">
      <x:c r="A56" s="123" t="s">
        <x:v>47</x:v>
      </x:c>
      <x:c r="B56" s="128" t="str">
        <x:f>'입력2(측정)'!B66</x:f>
        <x:v>보건실</x:v>
      </x:c>
      <x:c r="C56" s="128" t="str">
        <x:f>'입력2(측정)'!C66</x:f>
        <x:v>13:49 ~ 13:59</x:v>
      </x:c>
      <x:c r="D56" s="128">
        <x:f>'입력2(측정)'!D66</x:f>
        <x:v>1</x:v>
      </x:c>
      <x:c r="E56" s="128"/>
      <x:c r="F56" s="128">
        <x:f>'입력2(측정)'!F66</x:f>
        <x:v>0</x:v>
      </x:c>
      <x:c r="G56" s="128" t="s">
        <x:v>178</x:v>
      </x:c>
      <x:c r="H56" s="128" t="s">
        <x:v>42</x:v>
      </x:c>
      <x:c r="I56" s="128" t="s">
        <x:v>310</x:v>
      </x:c>
      <x:c r="J56" s="123" t="s">
        <x:v>44</x:v>
      </x:c>
      <x:c r="K56" s="123" t="s">
        <x:v>204</x:v>
      </x:c>
      <x:c r="L56" s="123" t="s">
        <x:v>204</x:v>
      </x:c>
      <x:c r="M56" s="123" t="s">
        <x:v>204</x:v>
      </x:c>
      <x:c r="N56" s="123" t="s">
        <x:v>204</x:v>
      </x:c>
      <x:c r="O56" s="123" t="s">
        <x:v>101</x:v>
      </x:c>
      <x:c r="P56" s="127" t="s">
        <x:v>225</x:v>
      </x:c>
    </x:row>
    <x:row r="57" spans="1:16" s="47" customFormat="1" ht="42.75" customHeight="1">
      <x:c r="A57" s="852" t="s">
        <x:v>424</x:v>
      </x:c>
      <x:c r="B57" s="128" t="str">
        <x:f>'입력2(측정)'!B115</x:f>
        <x:v>1층 1-12반</x:v>
      </x:c>
      <x:c r="C57" s="128" t="str">
        <x:f>'입력2(측정)'!C115</x:f>
        <x:v>13:12 ~ 14:12</x:v>
      </x:c>
      <x:c r="D57" s="128">
        <x:f>'입력2(측정)'!D115</x:f>
        <x:v>2</x:v>
      </x:c>
      <x:c r="E57" s="505">
        <x:f>'입력2(측정)'!R115</x:f>
        <x:v>116.77156937706951</x:v>
      </x:c>
      <x:c r="F57" s="505">
        <x:f>'입력2(측정)'!S115</x:f>
        <x:v>141.58957404341547</x:v>
      </x:c>
      <x:c r="G57" s="505">
        <x:f>'입력2(측정)'!T115</x:f>
        <x:v>129.18057171024248</x:v>
      </x:c>
      <x:c r="H57" s="123" t="s">
        <x:v>480</x:v>
      </x:c>
      <x:c r="I57" s="123" t="str">
        <x:f>IF(G57&gt;400,"부적합","적합")</x:f>
        <x:v>적합</x:v>
      </x:c>
      <x:c r="J57" s="852" t="s">
        <x:v>204</x:v>
      </x:c>
      <x:c r="K57" s="852" t="s">
        <x:v>204</x:v>
      </x:c>
      <x:c r="L57" s="852" t="s">
        <x:v>204</x:v>
      </x:c>
      <x:c r="M57" s="852" t="s">
        <x:v>204</x:v>
      </x:c>
      <x:c r="N57" s="852" t="s">
        <x:v>204</x:v>
      </x:c>
      <x:c r="O57" s="852" t="s">
        <x:v>204</x:v>
      </x:c>
      <x:c r="P57" s="857"/>
    </x:row>
    <x:row r="58" spans="1:16" s="47" customFormat="1" ht="42.75" customHeight="1">
      <x:c r="A58" s="852"/>
      <x:c r="B58" s="128" t="str">
        <x:f>'입력2(측정)'!B116</x:f>
        <x:v>2층 2-12반</x:v>
      </x:c>
      <x:c r="C58" s="128" t="str">
        <x:f>'입력2(측정)'!C116</x:f>
        <x:v>14:05 ~ 15:05</x:v>
      </x:c>
      <x:c r="D58" s="128">
        <x:f>'입력2(측정)'!D116</x:f>
        <x:v>2</x:v>
      </x:c>
      <x:c r="E58" s="505">
        <x:f>'입력2(측정)'!R116</x:f>
        <x:v>114.63926240710406</x:v>
      </x:c>
      <x:c r="F58" s="505">
        <x:f>'입력2(측정)'!S116</x:f>
        <x:v>126.04542176616226</x:v>
      </x:c>
      <x:c r="G58" s="505">
        <x:f>'입력2(측정)'!T116</x:f>
        <x:v>120.34234208663315</x:v>
      </x:c>
      <x:c r="H58" s="123" t="s">
        <x:v>480</x:v>
      </x:c>
      <x:c r="I58" s="123" t="str">
        <x:f>IF(G58&gt;400,"부적합","적합")</x:f>
        <x:v>적합</x:v>
      </x:c>
      <x:c r="J58" s="852"/>
      <x:c r="K58" s="852"/>
      <x:c r="L58" s="852"/>
      <x:c r="M58" s="852"/>
      <x:c r="N58" s="852"/>
      <x:c r="O58" s="852"/>
      <x:c r="P58" s="857"/>
    </x:row>
    <x:row r="59" spans="1:16" s="47" customFormat="1" ht="42.75" customHeight="1">
      <x:c r="A59" s="852"/>
      <x:c r="B59" s="128" t="str">
        <x:f>'입력2(측정)'!B117</x:f>
        <x:v>1층 스포티존</x:v>
      </x:c>
      <x:c r="C59" s="128" t="str">
        <x:f>'입력2(측정)'!C117</x:f>
        <x:v>13:00 ~ 14:00</x:v>
      </x:c>
      <x:c r="D59" s="128">
        <x:f>'입력2(측정)'!D117</x:f>
        <x:v>2</x:v>
      </x:c>
      <x:c r="E59" s="505">
        <x:f>'입력2(측정)'!R117</x:f>
        <x:v>150.27510466198262</x:v>
      </x:c>
      <x:c r="F59" s="505">
        <x:f>'입력2(측정)'!S117</x:f>
        <x:v>155.85074710853817</x:v>
      </x:c>
      <x:c r="G59" s="505">
        <x:f>'입력2(측정)'!T117</x:f>
        <x:v>153.0629258852604</x:v>
      </x:c>
      <x:c r="H59" s="123" t="s">
        <x:v>480</x:v>
      </x:c>
      <x:c r="I59" s="123" t="str">
        <x:f>IF(G59&gt;400,"부적합","적합")</x:f>
        <x:v>적합</x:v>
      </x:c>
      <x:c r="J59" s="852"/>
      <x:c r="K59" s="852"/>
      <x:c r="L59" s="852"/>
      <x:c r="M59" s="852"/>
      <x:c r="N59" s="852"/>
      <x:c r="O59" s="852"/>
      <x:c r="P59" s="857"/>
    </x:row>
    <x:row r="60" spans="1:16" s="47" customFormat="1" ht="42.75" customHeight="1">
      <x:c r="A60" s="852" t="s">
        <x:v>470</x:v>
      </x:c>
      <x:c r="B60" s="128" t="str">
        <x:f>'입력2(측정)'!B118</x:f>
        <x:v>1층 1-12반</x:v>
      </x:c>
      <x:c r="C60" s="128" t="str">
        <x:f>'입력2(측정)'!C118</x:f>
        <x:v>13:12 ~ 14:12</x:v>
      </x:c>
      <x:c r="D60" s="128">
        <x:f>'입력2(측정)'!D118</x:f>
        <x:v>2</x:v>
      </x:c>
      <x:c r="E60" s="504">
        <x:f>'입력2(측정)'!R118</x:f>
        <x:v>23.019175332709118</x:v>
      </x:c>
      <x:c r="F60" s="504">
        <x:f>'입력2(측정)'!S118</x:f>
        <x:v>25.933928230297024</x:v>
      </x:c>
      <x:c r="G60" s="504">
        <x:f>'입력2(측정)'!T118</x:f>
        <x:v>24.476551781503069</x:v>
      </x:c>
      <x:c r="H60" s="123" t="s">
        <x:v>450</x:v>
      </x:c>
      <x:c r="I60" s="123" t="str">
        <x:f>IF(G60&gt;30,"부적합","적합")</x:f>
        <x:v>적합</x:v>
      </x:c>
      <x:c r="J60" s="852" t="s">
        <x:v>204</x:v>
      </x:c>
      <x:c r="K60" s="852" t="s">
        <x:v>204</x:v>
      </x:c>
      <x:c r="L60" s="852" t="s">
        <x:v>204</x:v>
      </x:c>
      <x:c r="M60" s="852" t="s">
        <x:v>204</x:v>
      </x:c>
      <x:c r="N60" s="852" t="s">
        <x:v>204</x:v>
      </x:c>
      <x:c r="O60" s="852" t="s">
        <x:v>204</x:v>
      </x:c>
      <x:c r="P60" s="857" t="s">
        <x:v>225</x:v>
      </x:c>
    </x:row>
    <x:row r="61" spans="1:16" s="47" customFormat="1" ht="42.75" customHeight="1">
      <x:c r="A61" s="852"/>
      <x:c r="B61" s="128" t="str">
        <x:f>'입력2(측정)'!B119</x:f>
        <x:v>2층 2-12반</x:v>
      </x:c>
      <x:c r="C61" s="128" t="str">
        <x:f>'입력2(측정)'!C119</x:f>
        <x:v>14:05 ~ 15:05</x:v>
      </x:c>
      <x:c r="D61" s="128">
        <x:f>'입력2(측정)'!D119</x:f>
        <x:v>2</x:v>
      </x:c>
      <x:c r="E61" s="504">
        <x:f>'입력2(측정)'!R119</x:f>
        <x:v>21.788879147195534</x:v>
      </x:c>
      <x:c r="F61" s="504">
        <x:f>'입력2(측정)'!S119</x:f>
        <x:v>24.340938948458433</x:v>
      </x:c>
      <x:c r="G61" s="504">
        <x:f>'입력2(측정)'!T119</x:f>
        <x:v>23.064909047826983</x:v>
      </x:c>
      <x:c r="H61" s="123" t="s">
        <x:v>450</x:v>
      </x:c>
      <x:c r="I61" s="123" t="str">
        <x:f>IF(G61&gt;30,"부적합","적합")</x:f>
        <x:v>적합</x:v>
      </x:c>
      <x:c r="J61" s="852"/>
      <x:c r="K61" s="852"/>
      <x:c r="L61" s="852"/>
      <x:c r="M61" s="852"/>
      <x:c r="N61" s="852"/>
      <x:c r="O61" s="852"/>
      <x:c r="P61" s="857"/>
    </x:row>
    <x:row r="62" spans="1:16" s="47" customFormat="1" ht="42.75" customHeight="1">
      <x:c r="A62" s="852"/>
      <x:c r="B62" s="128" t="str">
        <x:f>'입력2(측정)'!B120</x:f>
        <x:v>1층 스포티존</x:v>
      </x:c>
      <x:c r="C62" s="128" t="str">
        <x:f>'입력2(측정)'!C120</x:f>
        <x:v>13:00 ~ 14:00</x:v>
      </x:c>
      <x:c r="D62" s="128">
        <x:f>'입력2(측정)'!D120</x:f>
        <x:v>2</x:v>
      </x:c>
      <x:c r="E62" s="504">
        <x:f>'입력2(측정)'!R120</x:f>
        <x:v>17.332717692440752</x:v>
      </x:c>
      <x:c r="F62" s="504">
        <x:f>'입력2(측정)'!S120</x:f>
        <x:v>27.17270338417822</x:v>
      </x:c>
      <x:c r="G62" s="504">
        <x:f>'입력2(측정)'!T120</x:f>
        <x:v>22.252710538309486</x:v>
      </x:c>
      <x:c r="H62" s="123" t="s">
        <x:v>450</x:v>
      </x:c>
      <x:c r="I62" s="123" t="str">
        <x:f>IF(G62&gt;30,"부적합","적합")</x:f>
        <x:v>적합</x:v>
      </x:c>
      <x:c r="J62" s="852"/>
      <x:c r="K62" s="852"/>
      <x:c r="L62" s="852"/>
      <x:c r="M62" s="852"/>
      <x:c r="N62" s="852"/>
      <x:c r="O62" s="852"/>
      <x:c r="P62" s="857"/>
    </x:row>
    <x:row r="63" spans="1:16" s="47" customFormat="1" ht="42.75" customHeight="1">
      <x:c r="A63" s="852" t="s">
        <x:v>454</x:v>
      </x:c>
      <x:c r="B63" s="128" t="str">
        <x:f>'입력2(측정)'!B124</x:f>
        <x:v>1층 1-12반</x:v>
      </x:c>
      <x:c r="C63" s="128" t="str">
        <x:f>'입력2(측정)'!C124</x:f>
        <x:v>13:12 ~ 14:12</x:v>
      </x:c>
      <x:c r="D63" s="128">
        <x:f>'입력2(측정)'!D124</x:f>
        <x:v>2</x:v>
      </x:c>
      <x:c r="E63" s="504">
        <x:f>'입력2(측정)'!R124</x:f>
        <x:v>10.445622820514615</x:v>
      </x:c>
      <x:c r="F63" s="504">
        <x:f>'입력2(측정)'!S124</x:f>
        <x:v>12.927162419312991</x:v>
      </x:c>
      <x:c r="G63" s="504">
        <x:f>'입력2(측정)'!T124</x:f>
        <x:v>11.686392619913804</x:v>
      </x:c>
      <x:c r="H63" s="123" t="s">
        <x:v>357</x:v>
      </x:c>
      <x:c r="I63" s="123" t="str">
        <x:f>IF(G63&gt;1000,"부적합","적합")</x:f>
        <x:v>적합</x:v>
      </x:c>
      <x:c r="J63" s="852" t="s">
        <x:v>204</x:v>
      </x:c>
      <x:c r="K63" s="852" t="s">
        <x:v>204</x:v>
      </x:c>
      <x:c r="L63" s="852" t="s">
        <x:v>204</x:v>
      </x:c>
      <x:c r="M63" s="852" t="s">
        <x:v>204</x:v>
      </x:c>
      <x:c r="N63" s="852" t="s">
        <x:v>204</x:v>
      </x:c>
      <x:c r="O63" s="852" t="s">
        <x:v>204</x:v>
      </x:c>
      <x:c r="P63" s="857" t="s">
        <x:v>225</x:v>
      </x:c>
    </x:row>
    <x:row r="64" spans="1:16" s="47" customFormat="1" ht="42.75" customHeight="1">
      <x:c r="A64" s="852"/>
      <x:c r="B64" s="128" t="str">
        <x:f>'입력2(측정)'!B125</x:f>
        <x:v>2층 2-12반</x:v>
      </x:c>
      <x:c r="C64" s="128" t="str">
        <x:f>'입력2(측정)'!C125</x:f>
        <x:v>14:05 ~ 15:05</x:v>
      </x:c>
      <x:c r="D64" s="128">
        <x:f>'입력2(측정)'!D125</x:f>
        <x:v>2</x:v>
      </x:c>
      <x:c r="E64" s="504">
        <x:f>'입력2(측정)'!R125</x:f>
        <x:v>7.5893834290400202</x:v>
      </x:c>
      <x:c r="F64" s="504">
        <x:f>'입력2(측정)'!S125</x:f>
        <x:v>7.8424756427226354</x:v>
      </x:c>
      <x:c r="G64" s="504">
        <x:f>'입력2(측정)'!T125</x:f>
        <x:v>7.7159295358813278</x:v>
      </x:c>
      <x:c r="H64" s="123" t="s">
        <x:v>357</x:v>
      </x:c>
      <x:c r="I64" s="123" t="str">
        <x:f>IF(G64&gt;1000,"부적합","적합")</x:f>
        <x:v>적합</x:v>
      </x:c>
      <x:c r="J64" s="852"/>
      <x:c r="K64" s="852"/>
      <x:c r="L64" s="852"/>
      <x:c r="M64" s="852"/>
      <x:c r="N64" s="852"/>
      <x:c r="O64" s="852"/>
      <x:c r="P64" s="857"/>
    </x:row>
    <x:row r="65" spans="1:16" s="47" customFormat="1" ht="42.75" customHeight="1">
      <x:c r="A65" s="852"/>
      <x:c r="B65" s="128" t="str">
        <x:f>'입력2(측정)'!B126</x:f>
        <x:v>1층 스포티존</x:v>
      </x:c>
      <x:c r="C65" s="128" t="str">
        <x:f>'입력2(측정)'!C126</x:f>
        <x:v>13:00 ~ 14:00</x:v>
      </x:c>
      <x:c r="D65" s="128">
        <x:f>'입력2(측정)'!D126</x:f>
        <x:v>2</x:v>
      </x:c>
      <x:c r="E65" s="504">
        <x:f>'입력2(측정)'!R126</x:f>
        <x:v>18.671660841084371</x:v>
      </x:c>
      <x:c r="F65" s="504">
        <x:f>'입력2(측정)'!S126</x:f>
        <x:v>20.658002632658775</x:v>
      </x:c>
      <x:c r="G65" s="504">
        <x:f>'입력2(측정)'!T126</x:f>
        <x:v>19.664831736871573</x:v>
      </x:c>
      <x:c r="H65" s="123" t="s">
        <x:v>357</x:v>
      </x:c>
      <x:c r="I65" s="123" t="str">
        <x:f>IF(G65&gt;1000,"부적합","적합")</x:f>
        <x:v>적합</x:v>
      </x:c>
      <x:c r="J65" s="852"/>
      <x:c r="K65" s="852"/>
      <x:c r="L65" s="852"/>
      <x:c r="M65" s="852"/>
      <x:c r="N65" s="852"/>
      <x:c r="O65" s="852"/>
      <x:c r="P65" s="857"/>
    </x:row>
    <x:row r="66" spans="1:16" s="47" customFormat="1" ht="42.75" customHeight="1">
      <x:c r="A66" s="852" t="s">
        <x:v>441</x:v>
      </x:c>
      <x:c r="B66" s="128" t="str">
        <x:f>'입력2(측정)'!B121</x:f>
        <x:v>1층 1-12반</x:v>
      </x:c>
      <x:c r="C66" s="128" t="str">
        <x:f>'입력2(측정)'!C121</x:f>
        <x:v>13:12 ~ 14:12</x:v>
      </x:c>
      <x:c r="D66" s="128">
        <x:f>'입력2(측정)'!D121</x:f>
        <x:v>2</x:v>
      </x:c>
      <x:c r="E66" s="504">
        <x:f>'입력2(측정)'!R121</x:f>
        <x:v>3.209681993269129</x:v>
      </x:c>
      <x:c r="F66" s="504">
        <x:f>'입력2(측정)'!S121</x:f>
        <x:v>5.2266940320574484</x:v>
      </x:c>
      <x:c r="G66" s="504">
        <x:f>'입력2(측정)'!T121</x:f>
        <x:v>4.2181880126632887</x:v>
      </x:c>
      <x:c r="H66" s="123" t="s">
        <x:v>432</x:v>
      </x:c>
      <x:c r="I66" s="123" t="str">
        <x:f>IF(G66&gt;360,"부적합","적합")</x:f>
        <x:v>적합</x:v>
      </x:c>
      <x:c r="J66" s="852" t="s">
        <x:v>204</x:v>
      </x:c>
      <x:c r="K66" s="852" t="s">
        <x:v>204</x:v>
      </x:c>
      <x:c r="L66" s="852" t="s">
        <x:v>204</x:v>
      </x:c>
      <x:c r="M66" s="852" t="s">
        <x:v>204</x:v>
      </x:c>
      <x:c r="N66" s="852" t="s">
        <x:v>204</x:v>
      </x:c>
      <x:c r="O66" s="852" t="s">
        <x:v>204</x:v>
      </x:c>
      <x:c r="P66" s="857" t="s">
        <x:v>225</x:v>
      </x:c>
    </x:row>
    <x:row r="67" spans="1:16" s="47" customFormat="1" ht="42.75" customHeight="1">
      <x:c r="A67" s="852"/>
      <x:c r="B67" s="128" t="str">
        <x:f>'입력2(측정)'!B122</x:f>
        <x:v>2층 2-12반</x:v>
      </x:c>
      <x:c r="C67" s="128" t="str">
        <x:f>'입력2(측정)'!C122</x:f>
        <x:v>14:05 ~ 15:05</x:v>
      </x:c>
      <x:c r="D67" s="128">
        <x:f>'입력2(측정)'!D122</x:f>
        <x:v>2</x:v>
      </x:c>
      <x:c r="E67" s="504">
        <x:f>'입력2(측정)'!R122</x:f>
        <x:v>2.780353065279999</x:v>
      </x:c>
      <x:c r="F67" s="504">
        <x:f>'입력2(측정)'!S122</x:f>
        <x:v>2.8931103696728173</x:v>
      </x:c>
      <x:c r="G67" s="504">
        <x:f>'입력2(측정)'!T122</x:f>
        <x:v>2.8367317174764084</x:v>
      </x:c>
      <x:c r="H67" s="123" t="s">
        <x:v>432</x:v>
      </x:c>
      <x:c r="I67" s="123" t="str">
        <x:f>IF(G67&gt;360,"부적합","적합")</x:f>
        <x:v>적합</x:v>
      </x:c>
      <x:c r="J67" s="852"/>
      <x:c r="K67" s="852"/>
      <x:c r="L67" s="852"/>
      <x:c r="M67" s="852"/>
      <x:c r="N67" s="852"/>
      <x:c r="O67" s="852"/>
      <x:c r="P67" s="857"/>
    </x:row>
    <x:row r="68" spans="1:16" s="47" customFormat="1" ht="42.75" customHeight="1">
      <x:c r="A68" s="852"/>
      <x:c r="B68" s="128" t="str">
        <x:f>'입력2(측정)'!B123</x:f>
        <x:v>1층 스포티존</x:v>
      </x:c>
      <x:c r="C68" s="128" t="str">
        <x:f>'입력2(측정)'!C123</x:f>
        <x:v>13:00 ~ 14:00</x:v>
      </x:c>
      <x:c r="D68" s="128">
        <x:f>'입력2(측정)'!D123</x:f>
        <x:v>2</x:v>
      </x:c>
      <x:c r="E68" s="504">
        <x:f>'입력2(측정)'!R123</x:f>
        <x:v>3.8468345877681003</x:v>
      </x:c>
      <x:c r="F68" s="504">
        <x:f>'입력2(측정)'!S123</x:f>
        <x:v>5.393401591349658</x:v>
      </x:c>
      <x:c r="G68" s="504">
        <x:f>'입력2(측정)'!T123</x:f>
        <x:v>4.6201180895588791</x:v>
      </x:c>
      <x:c r="H68" s="123" t="s">
        <x:v>432</x:v>
      </x:c>
      <x:c r="I68" s="123" t="str">
        <x:f>IF(G68&gt;360,"부적합","적합")</x:f>
        <x:v>적합</x:v>
      </x:c>
      <x:c r="J68" s="852"/>
      <x:c r="K68" s="852"/>
      <x:c r="L68" s="852"/>
      <x:c r="M68" s="852"/>
      <x:c r="N68" s="852"/>
      <x:c r="O68" s="852"/>
      <x:c r="P68" s="857"/>
    </x:row>
    <x:row r="69" spans="1:16" s="47" customFormat="1" ht="42.75" customHeight="1">
      <x:c r="A69" s="852" t="s">
        <x:v>446</x:v>
      </x:c>
      <x:c r="B69" s="128" t="str">
        <x:f>'입력2(측정)'!B127</x:f>
        <x:v>1층 1-12반</x:v>
      </x:c>
      <x:c r="C69" s="128" t="str">
        <x:f>'입력2(측정)'!C127</x:f>
        <x:v>13:12 ~ 14:12</x:v>
      </x:c>
      <x:c r="D69" s="128">
        <x:f>'입력2(측정)'!D127</x:f>
        <x:v>2</x:v>
      </x:c>
      <x:c r="E69" s="504">
        <x:f>'입력2(측정)'!R127</x:f>
        <x:v>6.5804780239227458</x:v>
      </x:c>
      <x:c r="F69" s="504">
        <x:f>'입력2(측정)'!S127</x:f>
        <x:v>9.7124184541498693</x:v>
      </x:c>
      <x:c r="G69" s="504">
        <x:f>'입력2(측정)'!T127</x:f>
        <x:v>8.1464482390363067</x:v>
      </x:c>
      <x:c r="H69" s="123" t="s">
        <x:v>453</x:v>
      </x:c>
      <x:c r="I69" s="123" t="str">
        <x:f>IF(G69&gt;700,"부적합","적합")</x:f>
        <x:v>적합</x:v>
      </x:c>
      <x:c r="J69" s="852" t="s">
        <x:v>204</x:v>
      </x:c>
      <x:c r="K69" s="852" t="s">
        <x:v>204</x:v>
      </x:c>
      <x:c r="L69" s="852" t="s">
        <x:v>204</x:v>
      </x:c>
      <x:c r="M69" s="852" t="s">
        <x:v>204</x:v>
      </x:c>
      <x:c r="N69" s="852" t="s">
        <x:v>204</x:v>
      </x:c>
      <x:c r="O69" s="852" t="s">
        <x:v>204</x:v>
      </x:c>
      <x:c r="P69" s="857" t="s">
        <x:v>225</x:v>
      </x:c>
    </x:row>
    <x:row r="70" spans="1:16" s="47" customFormat="1" ht="42.75" customHeight="1">
      <x:c r="A70" s="852"/>
      <x:c r="B70" s="128" t="str">
        <x:f>'입력2(측정)'!B128</x:f>
        <x:v>2층 2-12반</x:v>
      </x:c>
      <x:c r="C70" s="128" t="str">
        <x:f>'입력2(측정)'!C128</x:f>
        <x:v>14:05 ~ 15:05</x:v>
      </x:c>
      <x:c r="D70" s="128">
        <x:f>'입력2(측정)'!D128</x:f>
        <x:v>2</x:v>
      </x:c>
      <x:c r="E70" s="504">
        <x:f>'입력2(측정)'!R128</x:f>
        <x:v>6.062206451351539</x:v>
      </x:c>
      <x:c r="F70" s="504">
        <x:f>'입력2(측정)'!S128</x:f>
        <x:v>6.838889008883589</x:v>
      </x:c>
      <x:c r="G70" s="504">
        <x:f>'입력2(측정)'!T128</x:f>
        <x:v>6.450547730117564</x:v>
      </x:c>
      <x:c r="H70" s="123" t="s">
        <x:v>453</x:v>
      </x:c>
      <x:c r="I70" s="123" t="str">
        <x:f>IF(G70&gt;700,"부적합","적합")</x:f>
        <x:v>적합</x:v>
      </x:c>
      <x:c r="J70" s="852"/>
      <x:c r="K70" s="852"/>
      <x:c r="L70" s="852"/>
      <x:c r="M70" s="852"/>
      <x:c r="N70" s="852"/>
      <x:c r="O70" s="852"/>
      <x:c r="P70" s="857"/>
    </x:row>
    <x:row r="71" spans="1:16" s="47" customFormat="1" ht="42.75" customHeight="1">
      <x:c r="A71" s="852"/>
      <x:c r="B71" s="128" t="str">
        <x:f>'입력2(측정)'!B129</x:f>
        <x:v>1층 스포티존</x:v>
      </x:c>
      <x:c r="C71" s="128" t="str">
        <x:f>'입력2(측정)'!C129</x:f>
        <x:v>13:00 ~ 14:00</x:v>
      </x:c>
      <x:c r="D71" s="128">
        <x:f>'입력2(측정)'!D129</x:f>
        <x:v>2</x:v>
      </x:c>
      <x:c r="E71" s="504">
        <x:f>'입력2(측정)'!R129</x:f>
        <x:v>7.8918895662732664</x:v>
      </x:c>
      <x:c r="F71" s="504">
        <x:f>'입력2(측정)'!S129</x:f>
        <x:v>12.599521994407901</x:v>
      </x:c>
      <x:c r="G71" s="504">
        <x:f>'입력2(측정)'!T129</x:f>
        <x:v>10.245705780340584</x:v>
      </x:c>
      <x:c r="H71" s="123" t="s">
        <x:v>453</x:v>
      </x:c>
      <x:c r="I71" s="123" t="str">
        <x:f>IF(G71&gt;700,"부적합","적합")</x:f>
        <x:v>적합</x:v>
      </x:c>
      <x:c r="J71" s="852"/>
      <x:c r="K71" s="852"/>
      <x:c r="L71" s="852"/>
      <x:c r="M71" s="852"/>
      <x:c r="N71" s="852"/>
      <x:c r="O71" s="852"/>
      <x:c r="P71" s="857"/>
    </x:row>
    <x:row r="72" spans="1:16" s="47" customFormat="1" ht="42.75" customHeight="1">
      <x:c r="A72" s="852" t="s">
        <x:v>444</x:v>
      </x:c>
      <x:c r="B72" s="128" t="str">
        <x:f>'입력2(측정)'!B130</x:f>
        <x:v>1층 1-12반</x:v>
      </x:c>
      <x:c r="C72" s="128" t="str">
        <x:f>'입력2(측정)'!C130</x:f>
        <x:v>13:12 ~ 14:12</x:v>
      </x:c>
      <x:c r="D72" s="128">
        <x:f>'입력2(측정)'!D130</x:f>
        <x:v>2</x:v>
      </x:c>
      <x:c r="E72" s="504">
        <x:f>'입력2(측정)'!R130</x:f>
        <x:v>0.94087966173324877</x:v>
      </x:c>
      <x:c r="F72" s="504">
        <x:f>'입력2(측정)'!S130</x:f>
        <x:v>1.4751260030720252</x:v>
      </x:c>
      <x:c r="G72" s="504">
        <x:f>'입력2(측정)'!T130</x:f>
        <x:v>1.2080028324026371</x:v>
      </x:c>
      <x:c r="H72" s="123" t="s">
        <x:v>497</x:v>
      </x:c>
      <x:c r="I72" s="123" t="str">
        <x:f>IF(G72&gt;300,"부적합","적합")</x:f>
        <x:v>적합</x:v>
      </x:c>
      <x:c r="J72" s="852" t="s">
        <x:v>204</x:v>
      </x:c>
      <x:c r="K72" s="852" t="s">
        <x:v>204</x:v>
      </x:c>
      <x:c r="L72" s="852" t="s">
        <x:v>204</x:v>
      </x:c>
      <x:c r="M72" s="852" t="s">
        <x:v>204</x:v>
      </x:c>
      <x:c r="N72" s="852" t="s">
        <x:v>204</x:v>
      </x:c>
      <x:c r="O72" s="852" t="s">
        <x:v>204</x:v>
      </x:c>
      <x:c r="P72" s="857" t="s">
        <x:v>225</x:v>
      </x:c>
    </x:row>
    <x:row r="73" spans="1:16" s="47" customFormat="1" ht="42.75" customHeight="1">
      <x:c r="A73" s="852"/>
      <x:c r="B73" s="128" t="str">
        <x:f>'입력2(측정)'!B131</x:f>
        <x:v>2층 2-12반</x:v>
      </x:c>
      <x:c r="C73" s="128" t="str">
        <x:f>'입력2(측정)'!C131</x:f>
        <x:v>14:05 ~ 15:05</x:v>
      </x:c>
      <x:c r="D73" s="128">
        <x:f>'입력2(측정)'!D131</x:f>
        <x:v>2</x:v>
      </x:c>
      <x:c r="E73" s="504">
        <x:f>'입력2(측정)'!R131</x:f>
        <x:v>0.49660870559804471</x:v>
      </x:c>
      <x:c r="F73" s="504">
        <x:f>'입력2(측정)'!S131</x:f>
        <x:v>1.0224146867263504</x:v>
      </x:c>
      <x:c r="G73" s="504">
        <x:f>'입력2(측정)'!T131</x:f>
        <x:v>0.75951169616219749</x:v>
      </x:c>
      <x:c r="H73" s="123" t="s">
        <x:v>497</x:v>
      </x:c>
      <x:c r="I73" s="123" t="str">
        <x:f>IF(G73&gt;300,"부적합","적합")</x:f>
        <x:v>적합</x:v>
      </x:c>
      <x:c r="J73" s="852"/>
      <x:c r="K73" s="852"/>
      <x:c r="L73" s="852"/>
      <x:c r="M73" s="852"/>
      <x:c r="N73" s="852"/>
      <x:c r="O73" s="852"/>
      <x:c r="P73" s="857"/>
    </x:row>
    <x:row r="74" spans="1:16" s="47" customFormat="1" ht="42.75" customHeight="1">
      <x:c r="A74" s="852"/>
      <x:c r="B74" s="128" t="str">
        <x:f>'입력2(측정)'!B132</x:f>
        <x:v>1층 스포티존</x:v>
      </x:c>
      <x:c r="C74" s="128" t="str">
        <x:f>'입력2(측정)'!C132</x:f>
        <x:v>13:00 ~ 14:00</x:v>
      </x:c>
      <x:c r="D74" s="128">
        <x:f>'입력2(측정)'!D132</x:f>
        <x:v>2</x:v>
      </x:c>
      <x:c r="E74" s="504">
        <x:f>'입력2(측정)'!R132</x:f>
        <x:v>0.85996291814298997</x:v>
      </x:c>
      <x:c r="F74" s="504">
        <x:f>'입력2(측정)'!S132</x:f>
        <x:v>1.0812463118396591</x:v>
      </x:c>
      <x:c r="G74" s="504">
        <x:f>'입력2(측정)'!T132</x:f>
        <x:v>0.97060461499132455</x:v>
      </x:c>
      <x:c r="H74" s="123" t="s">
        <x:v>497</x:v>
      </x:c>
      <x:c r="I74" s="123" t="str">
        <x:f>IF(G74&gt;300,"부적합","적합")</x:f>
        <x:v>적합</x:v>
      </x:c>
      <x:c r="J74" s="852"/>
      <x:c r="K74" s="852"/>
      <x:c r="L74" s="852"/>
      <x:c r="M74" s="852"/>
      <x:c r="N74" s="852"/>
      <x:c r="O74" s="852"/>
      <x:c r="P74" s="857"/>
    </x:row>
    <x:row r="75" spans="1:16" s="47" customFormat="1" ht="42.75" customHeight="1">
      <x:c r="A75" s="862" t="s">
        <x:v>525</x:v>
      </x:c>
      <x:c r="B75" s="863"/>
      <x:c r="C75" s="863"/>
      <x:c r="D75" s="863"/>
      <x:c r="E75" s="863"/>
      <x:c r="F75" s="863"/>
      <x:c r="G75" s="863"/>
      <x:c r="H75" s="863"/>
      <x:c r="I75" s="863"/>
      <x:c r="J75" s="863"/>
      <x:c r="K75" s="863"/>
      <x:c r="L75" s="863"/>
      <x:c r="M75" s="863"/>
      <x:c r="N75" s="863"/>
      <x:c r="O75" s="863"/>
      <x:c r="P75" s="863"/>
    </x:row>
    <x:row r="76" spans="1:16" s="47" customFormat="1" ht="42.75" customHeight="1">
      <x:c r="A76" s="864" t="s">
        <x:v>167</x:v>
      </x:c>
      <x:c r="B76" s="864" t="s">
        <x:v>168</x:v>
      </x:c>
      <x:c r="C76" s="864"/>
      <x:c r="D76" s="865" t="s">
        <x:v>59</x:v>
      </x:c>
      <x:c r="E76" s="864" t="s">
        <x:v>126</x:v>
      </x:c>
      <x:c r="F76" s="864"/>
      <x:c r="G76" s="864"/>
      <x:c r="H76" s="868" t="s">
        <x:v>211</x:v>
      </x:c>
      <x:c r="I76" s="868" t="s">
        <x:v>262</x:v>
      </x:c>
      <x:c r="J76" s="864" t="s">
        <x:v>140</x:v>
      </x:c>
      <x:c r="K76" s="864"/>
      <x:c r="L76" s="864"/>
      <x:c r="M76" s="864"/>
      <x:c r="N76" s="868" t="s">
        <x:v>103</x:v>
      </x:c>
      <x:c r="O76" s="871" t="s">
        <x:v>208</x:v>
      </x:c>
      <x:c r="P76" s="872"/>
    </x:row>
    <x:row r="77" spans="1:16" s="47" customFormat="1" ht="42.75" customHeight="1">
      <x:c r="A77" s="864"/>
      <x:c r="B77" s="868" t="s">
        <x:v>256</x:v>
      </x:c>
      <x:c r="C77" s="868" t="s">
        <x:v>256</x:v>
      </x:c>
      <x:c r="D77" s="866"/>
      <x:c r="E77" s="864" t="s">
        <x:v>235</x:v>
      </x:c>
      <x:c r="F77" s="864" t="s">
        <x:v>202</x:v>
      </x:c>
      <x:c r="G77" s="864" t="s">
        <x:v>200</x:v>
      </x:c>
      <x:c r="H77" s="869"/>
      <x:c r="I77" s="869"/>
      <x:c r="J77" s="868" t="s">
        <x:v>249</x:v>
      </x:c>
      <x:c r="K77" s="864" t="s">
        <x:v>294</x:v>
      </x:c>
      <x:c r="L77" s="864" t="s">
        <x:v>307</x:v>
      </x:c>
      <x:c r="M77" s="868" t="s">
        <x:v>174</x:v>
      </x:c>
      <x:c r="N77" s="869"/>
      <x:c r="O77" s="873"/>
      <x:c r="P77" s="874"/>
    </x:row>
    <x:row r="78" spans="1:16" s="47" customFormat="1" ht="42.75" customHeight="1">
      <x:c r="A78" s="864"/>
      <x:c r="B78" s="870"/>
      <x:c r="C78" s="870"/>
      <x:c r="D78" s="867"/>
      <x:c r="E78" s="864"/>
      <x:c r="F78" s="864"/>
      <x:c r="G78" s="864"/>
      <x:c r="H78" s="870"/>
      <x:c r="I78" s="870"/>
      <x:c r="J78" s="870"/>
      <x:c r="K78" s="864"/>
      <x:c r="L78" s="864"/>
      <x:c r="M78" s="870"/>
      <x:c r="N78" s="870"/>
      <x:c r="O78" s="875"/>
      <x:c r="P78" s="876"/>
    </x:row>
    <x:row r="79" spans="1:16" ht="42.75" customHeight="1">
      <x:c r="A79" s="868" t="s">
        <x:v>477</x:v>
      </x:c>
      <x:c r="B79" s="49" t="str">
        <x:f>'입력2(측정)'!B76</x:f>
        <x:v>5층 1-9반</x:v>
      </x:c>
      <x:c r="C79" s="49" t="str">
        <x:f>'입력2(측정)'!C76</x:f>
        <x:v>13:03 ~ 13:13</x:v>
      </x:c>
      <x:c r="D79" s="96">
        <x:f>'입력2(측정)'!D76</x:f>
        <x:v>9</x:v>
      </x:c>
      <x:c r="E79" s="502">
        <x:f>'입력2(측정)'!R76</x:f>
        <x:v>334</x:v>
      </x:c>
      <x:c r="F79" s="502">
        <x:f>'입력2(측정)'!S76</x:f>
        <x:v>481</x:v>
      </x:c>
      <x:c r="G79" s="502">
        <x:f>'입력2(측정)'!T76</x:f>
        <x:v>405.22222222222223</x:v>
      </x:c>
      <x:c r="H79" s="49" t="s">
        <x:v>487</x:v>
      </x:c>
      <x:c r="I79" s="49" t="str">
        <x:f t="shared" ref="I79:I85" si="4">IF(G79&gt;=300,"적합","부적합")</x:f>
        <x:v>적합</x:v>
      </x:c>
      <x:c r="J79" s="868" t="s">
        <x:v>331</x:v>
      </x:c>
      <x:c r="K79" s="868" t="s">
        <x:v>462</x:v>
      </x:c>
      <x:c r="L79" s="868" t="s">
        <x:v>457</x:v>
      </x:c>
      <x:c r="M79" s="868" t="s">
        <x:v>164</x:v>
      </x:c>
      <x:c r="N79" s="868" t="s">
        <x:v>157</x:v>
      </x:c>
      <x:c r="O79" s="871" t="s">
        <x:v>225</x:v>
      </x:c>
      <x:c r="P79" s="872"/>
    </x:row>
    <x:row r="80" spans="1:16" ht="42.75" customHeight="1">
      <x:c r="A80" s="869"/>
      <x:c r="B80" s="49" t="str">
        <x:f>'입력2(측정)'!B78</x:f>
        <x:v>4층 1-7반</x:v>
      </x:c>
      <x:c r="C80" s="49" t="str">
        <x:f>'입력2(측정)'!C78</x:f>
        <x:v>13:15 ~ 13:25</x:v>
      </x:c>
      <x:c r="D80" s="96">
        <x:f>'입력2(측정)'!D78</x:f>
        <x:v>9</x:v>
      </x:c>
      <x:c r="E80" s="502">
        <x:f>'입력2(측정)'!R78</x:f>
        <x:v>427</x:v>
      </x:c>
      <x:c r="F80" s="502">
        <x:f>'입력2(측정)'!S78</x:f>
        <x:v>568</x:v>
      </x:c>
      <x:c r="G80" s="502">
        <x:f>'입력2(측정)'!T78</x:f>
        <x:v>504.55555555555554</x:v>
      </x:c>
      <x:c r="H80" s="49" t="s">
        <x:v>487</x:v>
      </x:c>
      <x:c r="I80" s="49" t="str">
        <x:f t="shared" si="4"/>
        <x:v>적합</x:v>
      </x:c>
      <x:c r="J80" s="869"/>
      <x:c r="K80" s="869"/>
      <x:c r="L80" s="869"/>
      <x:c r="M80" s="869"/>
      <x:c r="N80" s="869"/>
      <x:c r="O80" s="873"/>
      <x:c r="P80" s="874"/>
    </x:row>
    <x:row r="81" spans="1:16" ht="42.75" customHeight="1">
      <x:c r="A81" s="869"/>
      <x:c r="B81" s="49" t="str">
        <x:f>'입력2(측정)'!B80</x:f>
        <x:v>2층 (도제)세무실무실습실</x:v>
      </x:c>
      <x:c r="C81" s="49" t="str">
        <x:f>'입력2(측정)'!C80</x:f>
        <x:v>13:26 ~ 13:36</x:v>
      </x:c>
      <x:c r="D81" s="96">
        <x:f>'입력2(측정)'!D80</x:f>
        <x:v>9</x:v>
      </x:c>
      <x:c r="E81" s="502">
        <x:f>'입력2(측정)'!R80</x:f>
        <x:v>612</x:v>
      </x:c>
      <x:c r="F81" s="502">
        <x:f>'입력2(측정)'!S80</x:f>
        <x:v>893</x:v>
      </x:c>
      <x:c r="G81" s="502">
        <x:f>'입력2(측정)'!T80</x:f>
        <x:v>745.33333333333337</x:v>
      </x:c>
      <x:c r="H81" s="49" t="s">
        <x:v>487</x:v>
      </x:c>
      <x:c r="I81" s="49" t="str">
        <x:f t="shared" si="4"/>
        <x:v>적합</x:v>
      </x:c>
      <x:c r="J81" s="869"/>
      <x:c r="K81" s="869"/>
      <x:c r="L81" s="869"/>
      <x:c r="M81" s="869"/>
      <x:c r="N81" s="869"/>
      <x:c r="O81" s="873"/>
      <x:c r="P81" s="874"/>
    </x:row>
    <x:row r="82" spans="1:16" ht="42.75" customHeight="1">
      <x:c r="A82" s="869"/>
      <x:c r="B82" s="128" t="s">
        <x:v>204</x:v>
      </x:c>
      <x:c r="C82" s="128" t="s">
        <x:v>204</x:v>
      </x:c>
      <x:c r="D82" s="328" t="s">
        <x:v>204</x:v>
      </x:c>
      <x:c r="E82" s="124" t="s">
        <x:v>204</x:v>
      </x:c>
      <x:c r="F82" s="124" t="s">
        <x:v>204</x:v>
      </x:c>
      <x:c r="G82" s="124" t="s">
        <x:v>204</x:v>
      </x:c>
      <x:c r="H82" s="123" t="s">
        <x:v>204</x:v>
      </x:c>
      <x:c r="I82" s="123" t="s">
        <x:v>204</x:v>
      </x:c>
      <x:c r="J82" s="870"/>
      <x:c r="K82" s="870"/>
      <x:c r="L82" s="870"/>
      <x:c r="M82" s="870"/>
      <x:c r="N82" s="870"/>
      <x:c r="O82" s="875"/>
      <x:c r="P82" s="876"/>
    </x:row>
    <x:row r="83" spans="1:16" ht="42.75" customHeight="1">
      <x:c r="A83" s="868" t="s">
        <x:v>488</x:v>
      </x:c>
      <x:c r="B83" s="116" t="str">
        <x:f>'입력2(측정)'!B84</x:f>
        <x:v>5층 1-9반</x:v>
      </x:c>
      <x:c r="C83" s="116" t="str">
        <x:f>'입력2(측정)'!C84</x:f>
        <x:v>13:03 ~ 13:13</x:v>
      </x:c>
      <x:c r="D83" s="96">
        <x:f>'입력2(측정)'!D84</x:f>
        <x:v>9</x:v>
      </x:c>
      <x:c r="E83" s="502">
        <x:f>'입력2(측정)'!R84</x:f>
        <x:v>732</x:v>
      </x:c>
      <x:c r="F83" s="502">
        <x:f>'입력2(측정)'!S84</x:f>
        <x:v>953</x:v>
      </x:c>
      <x:c r="G83" s="502">
        <x:f>'입력2(측정)'!T84</x:f>
        <x:v>839.77777777777783</x:v>
      </x:c>
      <x:c r="H83" s="49" t="s">
        <x:v>487</x:v>
      </x:c>
      <x:c r="I83" s="49" t="str">
        <x:f t="shared" si="4"/>
        <x:v>적합</x:v>
      </x:c>
      <x:c r="J83" s="868" t="s">
        <x:v>331</x:v>
      </x:c>
      <x:c r="K83" s="868" t="s">
        <x:v>462</x:v>
      </x:c>
      <x:c r="L83" s="868" t="s">
        <x:v>457</x:v>
      </x:c>
      <x:c r="M83" s="868" t="s">
        <x:v>164</x:v>
      </x:c>
      <x:c r="N83" s="868" t="s">
        <x:v>157</x:v>
      </x:c>
      <x:c r="O83" s="871" t="s">
        <x:v>225</x:v>
      </x:c>
      <x:c r="P83" s="872"/>
    </x:row>
    <x:row r="84" spans="1:16" ht="42.75" customHeight="1">
      <x:c r="A84" s="869"/>
      <x:c r="B84" s="116" t="str">
        <x:f>'입력2(측정)'!B86</x:f>
        <x:v>4층 1-7반</x:v>
      </x:c>
      <x:c r="C84" s="116" t="str">
        <x:f>'입력2(측정)'!C86</x:f>
        <x:v>13:15 ~ 13:25</x:v>
      </x:c>
      <x:c r="D84" s="96">
        <x:f>'입력2(측정)'!D86</x:f>
        <x:v>9</x:v>
      </x:c>
      <x:c r="E84" s="502">
        <x:f>'입력2(측정)'!R86</x:f>
        <x:v>689</x:v>
      </x:c>
      <x:c r="F84" s="502">
        <x:f>'입력2(측정)'!S86</x:f>
        <x:v>896</x:v>
      </x:c>
      <x:c r="G84" s="502">
        <x:f>'입력2(측정)'!T86</x:f>
        <x:v>773.55555555555554</x:v>
      </x:c>
      <x:c r="H84" s="49" t="s">
        <x:v>487</x:v>
      </x:c>
      <x:c r="I84" s="49" t="str">
        <x:f t="shared" si="4"/>
        <x:v>적합</x:v>
      </x:c>
      <x:c r="J84" s="869"/>
      <x:c r="K84" s="869"/>
      <x:c r="L84" s="869"/>
      <x:c r="M84" s="869"/>
      <x:c r="N84" s="869"/>
      <x:c r="O84" s="873"/>
      <x:c r="P84" s="874"/>
    </x:row>
    <x:row r="85" spans="1:16" ht="42.75" customHeight="1">
      <x:c r="A85" s="869"/>
      <x:c r="B85" s="108" t="str">
        <x:f>'입력2(측정)'!B88</x:f>
        <x:v>2층 (도제)세무실무실습실</x:v>
      </x:c>
      <x:c r="C85" s="108" t="str">
        <x:f>'입력2(측정)'!C88</x:f>
        <x:v>13:26 ~ 13:36</x:v>
      </x:c>
      <x:c r="D85" s="96">
        <x:f>'입력2(측정)'!D88</x:f>
        <x:v>9</x:v>
      </x:c>
      <x:c r="E85" s="502">
        <x:f>'입력2(측정)'!R88</x:f>
        <x:v>642</x:v>
      </x:c>
      <x:c r="F85" s="502">
        <x:f>'입력2(측정)'!S88</x:f>
        <x:v>872</x:v>
      </x:c>
      <x:c r="G85" s="502">
        <x:f>'입력2(측정)'!T88</x:f>
        <x:v>720.11111111111109</x:v>
      </x:c>
      <x:c r="H85" s="49" t="s">
        <x:v>487</x:v>
      </x:c>
      <x:c r="I85" s="49" t="str">
        <x:f t="shared" si="4"/>
        <x:v>적합</x:v>
      </x:c>
      <x:c r="J85" s="869"/>
      <x:c r="K85" s="869"/>
      <x:c r="L85" s="869"/>
      <x:c r="M85" s="869"/>
      <x:c r="N85" s="869"/>
      <x:c r="O85" s="873"/>
      <x:c r="P85" s="874"/>
    </x:row>
    <x:row r="86" spans="1:16" ht="42.75" customHeight="1">
      <x:c r="A86" s="869"/>
      <x:c r="B86" s="128" t="s">
        <x:v>204</x:v>
      </x:c>
      <x:c r="C86" s="128" t="s">
        <x:v>204</x:v>
      </x:c>
      <x:c r="D86" s="328" t="s">
        <x:v>204</x:v>
      </x:c>
      <x:c r="E86" s="124" t="s">
        <x:v>204</x:v>
      </x:c>
      <x:c r="F86" s="124" t="s">
        <x:v>204</x:v>
      </x:c>
      <x:c r="G86" s="124" t="s">
        <x:v>204</x:v>
      </x:c>
      <x:c r="H86" s="123" t="s">
        <x:v>204</x:v>
      </x:c>
      <x:c r="I86" s="123" t="s">
        <x:v>204</x:v>
      </x:c>
      <x:c r="J86" s="870"/>
      <x:c r="K86" s="870"/>
      <x:c r="L86" s="870"/>
      <x:c r="M86" s="870"/>
      <x:c r="N86" s="870"/>
      <x:c r="O86" s="875"/>
      <x:c r="P86" s="876"/>
    </x:row>
    <x:row r="87" spans="1:16" ht="42.75" customHeight="1">
      <x:c r="A87" s="868" t="s">
        <x:v>430</x:v>
      </x:c>
      <x:c r="B87" s="49" t="str">
        <x:f>'입력2(측정)'!B92</x:f>
        <x:v>5층 1-9반</x:v>
      </x:c>
      <x:c r="C87" s="49" t="str">
        <x:f>'입력2(측정)'!C92</x:f>
        <x:v>13:03 ~ 13:13</x:v>
      </x:c>
      <x:c r="D87" s="96" t="s">
        <x:v>204</x:v>
      </x:c>
      <x:c r="E87" s="96" t="s">
        <x:v>204</x:v>
      </x:c>
      <x:c r="F87" s="96" t="s">
        <x:v>204</x:v>
      </x:c>
      <x:c r="G87" s="503">
        <x:f>'입력2(측정)'!T92</x:f>
        <x:v>1.4401197604790419</x:v>
      </x:c>
      <x:c r="H87" s="49" t="s">
        <x:v>153</x:v>
      </x:c>
      <x:c r="I87" s="49" t="str">
        <x:f t="shared" ref="I87:I93" si="5">IF(G87&gt;3,"부적합","적합")</x:f>
        <x:v>적합</x:v>
      </x:c>
      <x:c r="J87" s="868" t="s">
        <x:v>331</x:v>
      </x:c>
      <x:c r="K87" s="868" t="s">
        <x:v>462</x:v>
      </x:c>
      <x:c r="L87" s="868" t="s">
        <x:v>457</x:v>
      </x:c>
      <x:c r="M87" s="868" t="s">
        <x:v>425</x:v>
      </x:c>
      <x:c r="N87" s="868" t="s">
        <x:v>157</x:v>
      </x:c>
      <x:c r="O87" s="871" t="s">
        <x:v>225</x:v>
      </x:c>
      <x:c r="P87" s="872"/>
    </x:row>
    <x:row r="88" spans="1:16" ht="42.75" customHeight="1">
      <x:c r="A88" s="869"/>
      <x:c r="B88" s="49" t="str">
        <x:f>'입력2(측정)'!B94</x:f>
        <x:v>4층 1-7반</x:v>
      </x:c>
      <x:c r="C88" s="49" t="str">
        <x:f>'입력2(측정)'!C94</x:f>
        <x:v>13:15 ~ 13:25</x:v>
      </x:c>
      <x:c r="D88" s="96" t="s">
        <x:v>204</x:v>
      </x:c>
      <x:c r="E88" s="96" t="s">
        <x:v>204</x:v>
      </x:c>
      <x:c r="F88" s="96" t="s">
        <x:v>204</x:v>
      </x:c>
      <x:c r="G88" s="503">
        <x:f>'입력2(측정)'!T94</x:f>
        <x:v>1.3302107728337236</x:v>
      </x:c>
      <x:c r="H88" s="49" t="s">
        <x:v>153</x:v>
      </x:c>
      <x:c r="I88" s="49" t="str">
        <x:f t="shared" si="5"/>
        <x:v>적합</x:v>
      </x:c>
      <x:c r="J88" s="869"/>
      <x:c r="K88" s="869"/>
      <x:c r="L88" s="869"/>
      <x:c r="M88" s="869"/>
      <x:c r="N88" s="869"/>
      <x:c r="O88" s="873"/>
      <x:c r="P88" s="874"/>
    </x:row>
    <x:row r="89" spans="1:16" ht="42.75" customHeight="1">
      <x:c r="A89" s="869"/>
      <x:c r="B89" s="49" t="str">
        <x:f>'입력2(측정)'!B96</x:f>
        <x:v>2층 (도제)세무실무실습실</x:v>
      </x:c>
      <x:c r="C89" s="49" t="str">
        <x:f>'입력2(측정)'!C96</x:f>
        <x:v>13:26 ~ 13:36</x:v>
      </x:c>
      <x:c r="D89" s="96" t="s">
        <x:v>204</x:v>
      </x:c>
      <x:c r="E89" s="96" t="s">
        <x:v>204</x:v>
      </x:c>
      <x:c r="F89" s="96" t="s">
        <x:v>204</x:v>
      </x:c>
      <x:c r="G89" s="503">
        <x:f>'입력2(측정)'!T96</x:f>
        <x:v>1.4591503267973855</x:v>
      </x:c>
      <x:c r="H89" s="49" t="s">
        <x:v>153</x:v>
      </x:c>
      <x:c r="I89" s="49" t="str">
        <x:f t="shared" si="5"/>
        <x:v>적합</x:v>
      </x:c>
      <x:c r="J89" s="869"/>
      <x:c r="K89" s="869"/>
      <x:c r="L89" s="869"/>
      <x:c r="M89" s="869"/>
      <x:c r="N89" s="869"/>
      <x:c r="O89" s="873"/>
      <x:c r="P89" s="874"/>
    </x:row>
    <x:row r="90" spans="1:16" ht="42.75" customHeight="1">
      <x:c r="A90" s="870"/>
      <x:c r="B90" s="128" t="s">
        <x:v>204</x:v>
      </x:c>
      <x:c r="C90" s="128" t="s">
        <x:v>204</x:v>
      </x:c>
      <x:c r="D90" s="328" t="s">
        <x:v>204</x:v>
      </x:c>
      <x:c r="E90" s="124" t="s">
        <x:v>204</x:v>
      </x:c>
      <x:c r="F90" s="124" t="s">
        <x:v>204</x:v>
      </x:c>
      <x:c r="G90" s="124" t="s">
        <x:v>204</x:v>
      </x:c>
      <x:c r="H90" s="123" t="s">
        <x:v>204</x:v>
      </x:c>
      <x:c r="I90" s="123" t="s">
        <x:v>204</x:v>
      </x:c>
      <x:c r="J90" s="870"/>
      <x:c r="K90" s="870"/>
      <x:c r="L90" s="870"/>
      <x:c r="M90" s="870"/>
      <x:c r="N90" s="870"/>
      <x:c r="O90" s="875"/>
      <x:c r="P90" s="876"/>
    </x:row>
    <x:row r="91" spans="1:16" ht="42.75" customHeight="1">
      <x:c r="A91" s="868" t="s">
        <x:v>472</x:v>
      </x:c>
      <x:c r="B91" s="116" t="str">
        <x:f>'입력2(측정)'!B100</x:f>
        <x:v>5층 1-9반</x:v>
      </x:c>
      <x:c r="C91" s="116" t="str">
        <x:f>'입력2(측정)'!C100</x:f>
        <x:v>13:03 ~ 13:13</x:v>
      </x:c>
      <x:c r="D91" s="96" t="s">
        <x:v>204</x:v>
      </x:c>
      <x:c r="E91" s="96" t="s">
        <x:v>204</x:v>
      </x:c>
      <x:c r="F91" s="96" t="s">
        <x:v>204</x:v>
      </x:c>
      <x:c r="G91" s="503">
        <x:f>'입력2(측정)'!T100</x:f>
        <x:v>1.3019125683060109</x:v>
      </x:c>
      <x:c r="H91" s="49" t="s">
        <x:v>153</x:v>
      </x:c>
      <x:c r="I91" s="49" t="str">
        <x:f t="shared" si="5"/>
        <x:v>적합</x:v>
      </x:c>
      <x:c r="J91" s="868" t="s">
        <x:v>331</x:v>
      </x:c>
      <x:c r="K91" s="868" t="s">
        <x:v>462</x:v>
      </x:c>
      <x:c r="L91" s="868" t="s">
        <x:v>457</x:v>
      </x:c>
      <x:c r="M91" s="868" t="s">
        <x:v>164</x:v>
      </x:c>
      <x:c r="N91" s="868" t="s">
        <x:v>157</x:v>
      </x:c>
      <x:c r="O91" s="871" t="s">
        <x:v>225</x:v>
      </x:c>
      <x:c r="P91" s="872"/>
    </x:row>
    <x:row r="92" spans="1:16" ht="42.75" customHeight="1">
      <x:c r="A92" s="869"/>
      <x:c r="B92" s="116" t="str">
        <x:f>'입력2(측정)'!B102</x:f>
        <x:v>4층 1-7반</x:v>
      </x:c>
      <x:c r="C92" s="116" t="str">
        <x:f>'입력2(측정)'!C102</x:f>
        <x:v>13:15 ~ 13:25</x:v>
      </x:c>
      <x:c r="D92" s="96" t="s">
        <x:v>204</x:v>
      </x:c>
      <x:c r="E92" s="96" t="s">
        <x:v>204</x:v>
      </x:c>
      <x:c r="F92" s="96" t="s">
        <x:v>204</x:v>
      </x:c>
      <x:c r="G92" s="503">
        <x:f>'입력2(측정)'!T102</x:f>
        <x:v>1.3004354136429608</x:v>
      </x:c>
      <x:c r="H92" s="49" t="s">
        <x:v>153</x:v>
      </x:c>
      <x:c r="I92" s="49" t="str">
        <x:f t="shared" si="5"/>
        <x:v>적합</x:v>
      </x:c>
      <x:c r="J92" s="869"/>
      <x:c r="K92" s="869"/>
      <x:c r="L92" s="869"/>
      <x:c r="M92" s="869"/>
      <x:c r="N92" s="869"/>
      <x:c r="O92" s="873"/>
      <x:c r="P92" s="874"/>
    </x:row>
    <x:row r="93" spans="1:16" ht="42.75" customHeight="1">
      <x:c r="A93" s="869"/>
      <x:c r="B93" s="116" t="str">
        <x:f>'입력2(측정)'!B104</x:f>
        <x:v>2층 (도제)세무실무실습실</x:v>
      </x:c>
      <x:c r="C93" s="116" t="str">
        <x:f>'입력2(측정)'!C104</x:f>
        <x:v>13:26 ~ 13:36</x:v>
      </x:c>
      <x:c r="D93" s="96" t="s">
        <x:v>204</x:v>
      </x:c>
      <x:c r="E93" s="96" t="s">
        <x:v>204</x:v>
      </x:c>
      <x:c r="F93" s="96" t="s">
        <x:v>204</x:v>
      </x:c>
      <x:c r="G93" s="503">
        <x:f>'입력2(측정)'!T104</x:f>
        <x:v>1.3582554517133956</x:v>
      </x:c>
      <x:c r="H93" s="49" t="s">
        <x:v>153</x:v>
      </x:c>
      <x:c r="I93" s="49" t="str">
        <x:f t="shared" si="5"/>
        <x:v>적합</x:v>
      </x:c>
      <x:c r="J93" s="869"/>
      <x:c r="K93" s="869"/>
      <x:c r="L93" s="869"/>
      <x:c r="M93" s="869"/>
      <x:c r="N93" s="869"/>
      <x:c r="O93" s="873"/>
      <x:c r="P93" s="874"/>
    </x:row>
    <x:row r="94" spans="1:16" ht="42.75" customHeight="1">
      <x:c r="A94" s="870"/>
      <x:c r="B94" s="128" t="s">
        <x:v>204</x:v>
      </x:c>
      <x:c r="C94" s="128" t="s">
        <x:v>204</x:v>
      </x:c>
      <x:c r="D94" s="328" t="s">
        <x:v>204</x:v>
      </x:c>
      <x:c r="E94" s="124" t="s">
        <x:v>204</x:v>
      </x:c>
      <x:c r="F94" s="124" t="s">
        <x:v>204</x:v>
      </x:c>
      <x:c r="G94" s="124" t="s">
        <x:v>204</x:v>
      </x:c>
      <x:c r="H94" s="123" t="s">
        <x:v>204</x:v>
      </x:c>
      <x:c r="I94" s="123" t="s">
        <x:v>204</x:v>
      </x:c>
      <x:c r="J94" s="870"/>
      <x:c r="K94" s="870"/>
      <x:c r="L94" s="870"/>
      <x:c r="M94" s="870"/>
      <x:c r="N94" s="870"/>
      <x:c r="O94" s="875"/>
      <x:c r="P94" s="876"/>
    </x:row>
    <x:row r="95" spans="1:16" ht="42.75" customHeight="1">
      <x:c r="A95" s="868" t="s">
        <x:v>82</x:v>
      </x:c>
      <x:c r="B95" s="49" t="str">
        <x:f>'입력2(측정)'!B5</x:f>
        <x:v>5층 2-11반</x:v>
      </x:c>
      <x:c r="C95" s="49" t="str">
        <x:f>'입력2(측정)'!C5</x:f>
        <x:v>14:02 ~ 14:12</x:v>
      </x:c>
      <x:c r="D95" s="96">
        <x:f>'입력2(측정)'!D5</x:f>
        <x:v>3</x:v>
      </x:c>
      <x:c r="E95" s="73">
        <x:f>'입력2(측정)'!R5</x:f>
        <x:v>25.199999999999999</x:v>
      </x:c>
      <x:c r="F95" s="73">
        <x:f>'입력2(측정)'!S5</x:f>
        <x:v>25.800000000000001</x:v>
      </x:c>
      <x:c r="G95" s="73">
        <x:f>'입력2(측정)'!T5</x:f>
        <x:v>25.5</x:v>
      </x:c>
      <x:c r="H95" s="49" t="s">
        <x:v>72</x:v>
      </x:c>
      <x:c r="I95" s="49" t="str">
        <x:f>IF(AND(G95&gt;=18,G95&lt;=28),"적합","부적합")</x:f>
        <x:v>적합</x:v>
      </x:c>
      <x:c r="J95" s="864" t="s">
        <x:v>79</x:v>
      </x:c>
      <x:c r="K95" s="864" t="s">
        <x:v>86</x:v>
      </x:c>
      <x:c r="L95" s="864" t="s">
        <x:v>486</x:v>
      </x:c>
      <x:c r="M95" s="864" t="s">
        <x:v>164</x:v>
      </x:c>
      <x:c r="N95" s="868" t="s">
        <x:v>373</x:v>
      </x:c>
      <x:c r="O95" s="871" t="s">
        <x:v>225</x:v>
      </x:c>
      <x:c r="P95" s="872"/>
    </x:row>
    <x:row r="96" spans="1:16" ht="42.75" customHeight="1">
      <x:c r="A96" s="869"/>
      <x:c r="B96" s="49" t="str">
        <x:f>'입력2(측정)'!B6</x:f>
        <x:v>4층 2-4반</x:v>
      </x:c>
      <x:c r="C96" s="49" t="str">
        <x:f>'입력2(측정)'!C6</x:f>
        <x:v>14:13 ~ 14:23</x:v>
      </x:c>
      <x:c r="D96" s="96">
        <x:f>'입력2(측정)'!D6</x:f>
        <x:v>3</x:v>
      </x:c>
      <x:c r="E96" s="73">
        <x:f>'입력2(측정)'!R6</x:f>
        <x:v>24.899999999999999</x:v>
      </x:c>
      <x:c r="F96" s="73">
        <x:f>'입력2(측정)'!S6</x:f>
        <x:v>25.300000000000001</x:v>
      </x:c>
      <x:c r="G96" s="73">
        <x:f>'입력2(측정)'!T6</x:f>
        <x:v>25.099999999999998</x:v>
      </x:c>
      <x:c r="H96" s="49" t="s">
        <x:v>72</x:v>
      </x:c>
      <x:c r="I96" s="49" t="str">
        <x:f t="shared" ref="I96:I97" si="6">IF(AND(G96&gt;=18,G96&lt;=28),"적합","부적합")</x:f>
        <x:v>적합</x:v>
      </x:c>
      <x:c r="J96" s="864"/>
      <x:c r="K96" s="864"/>
      <x:c r="L96" s="864"/>
      <x:c r="M96" s="864"/>
      <x:c r="N96" s="869"/>
      <x:c r="O96" s="873"/>
      <x:c r="P96" s="874"/>
    </x:row>
    <x:row r="97" spans="1:16" ht="42.75" customHeight="1">
      <x:c r="A97" s="868"/>
      <x:c r="B97" s="49" t="str">
        <x:f>'입력2(측정)'!B7</x:f>
        <x:v>1층 (도제)회계실무실습실</x:v>
      </x:c>
      <x:c r="C97" s="49" t="str">
        <x:f>'입력2(측정)'!C7</x:f>
        <x:v>15:00 ~ 15:10</x:v>
      </x:c>
      <x:c r="D97" s="96">
        <x:f>'입력2(측정)'!D7</x:f>
        <x:v>3</x:v>
      </x:c>
      <x:c r="E97" s="73">
        <x:f>'입력2(측정)'!R7</x:f>
        <x:v>25.300000000000001</x:v>
      </x:c>
      <x:c r="F97" s="73">
        <x:f>'입력2(측정)'!S7</x:f>
        <x:v>26.199999999999999</x:v>
      </x:c>
      <x:c r="G97" s="73">
        <x:f>'입력2(측정)'!T7</x:f>
        <x:v>25.733333333333334</x:v>
      </x:c>
      <x:c r="H97" s="49" t="s">
        <x:v>72</x:v>
      </x:c>
      <x:c r="I97" s="49" t="str">
        <x:f t="shared" si="6"/>
        <x:v>적합</x:v>
      </x:c>
      <x:c r="J97" s="864"/>
      <x:c r="K97" s="864"/>
      <x:c r="L97" s="864"/>
      <x:c r="M97" s="864"/>
      <x:c r="N97" s="868"/>
      <x:c r="O97" s="873"/>
      <x:c r="P97" s="874"/>
    </x:row>
    <x:row r="98" spans="1:16" ht="42.75" customHeight="1">
      <x:c r="A98" s="869"/>
      <x:c r="B98" s="128" t="s">
        <x:v>204</x:v>
      </x:c>
      <x:c r="C98" s="128" t="s">
        <x:v>204</x:v>
      </x:c>
      <x:c r="D98" s="328" t="s">
        <x:v>204</x:v>
      </x:c>
      <x:c r="E98" s="124" t="s">
        <x:v>204</x:v>
      </x:c>
      <x:c r="F98" s="124" t="s">
        <x:v>204</x:v>
      </x:c>
      <x:c r="G98" s="124" t="s">
        <x:v>204</x:v>
      </x:c>
      <x:c r="H98" s="123" t="s">
        <x:v>204</x:v>
      </x:c>
      <x:c r="I98" s="123" t="s">
        <x:v>204</x:v>
      </x:c>
      <x:c r="J98" s="864"/>
      <x:c r="K98" s="864"/>
      <x:c r="L98" s="864"/>
      <x:c r="M98" s="864"/>
      <x:c r="N98" s="869"/>
      <x:c r="O98" s="873"/>
      <x:c r="P98" s="877"/>
    </x:row>
    <x:row r="99" spans="1:16" ht="42.75" customHeight="1">
      <x:c r="A99" s="869"/>
      <x:c r="B99" s="49" t="s">
        <x:v>204</x:v>
      </x:c>
      <x:c r="C99" s="49" t="s">
        <x:v>204</x:v>
      </x:c>
      <x:c r="D99" s="49" t="s">
        <x:v>204</x:v>
      </x:c>
      <x:c r="E99" s="49" t="s">
        <x:v>204</x:v>
      </x:c>
      <x:c r="F99" s="49" t="s">
        <x:v>204</x:v>
      </x:c>
      <x:c r="G99" s="49" t="s">
        <x:v>204</x:v>
      </x:c>
      <x:c r="H99" s="49" t="s">
        <x:v>204</x:v>
      </x:c>
      <x:c r="I99" s="49" t="s">
        <x:v>204</x:v>
      </x:c>
      <x:c r="J99" s="864"/>
      <x:c r="K99" s="864"/>
      <x:c r="L99" s="864"/>
      <x:c r="M99" s="864"/>
      <x:c r="N99" s="869"/>
      <x:c r="O99" s="871"/>
      <x:c r="P99" s="871"/>
    </x:row>
    <x:row r="100" spans="1:16" ht="42.75" customHeight="1">
      <x:c r="A100" s="868"/>
      <x:c r="B100" s="49" t="s">
        <x:v>204</x:v>
      </x:c>
      <x:c r="C100" s="49" t="s">
        <x:v>204</x:v>
      </x:c>
      <x:c r="D100" s="49" t="s">
        <x:v>204</x:v>
      </x:c>
      <x:c r="E100" s="49" t="s">
        <x:v>204</x:v>
      </x:c>
      <x:c r="F100" s="49" t="s">
        <x:v>204</x:v>
      </x:c>
      <x:c r="G100" s="49" t="s">
        <x:v>204</x:v>
      </x:c>
      <x:c r="H100" s="49" t="s">
        <x:v>204</x:v>
      </x:c>
      <x:c r="I100" s="49" t="s">
        <x:v>204</x:v>
      </x:c>
      <x:c r="J100" s="864"/>
      <x:c r="K100" s="864"/>
      <x:c r="L100" s="864"/>
      <x:c r="M100" s="864"/>
      <x:c r="N100" s="868"/>
      <x:c r="O100" s="873"/>
      <x:c r="P100" s="877"/>
    </x:row>
    <x:row r="101" spans="1:16" ht="42.75" customHeight="1">
      <x:c r="A101" s="870"/>
      <x:c r="B101" s="49" t="s">
        <x:v>204</x:v>
      </x:c>
      <x:c r="C101" s="49" t="s">
        <x:v>204</x:v>
      </x:c>
      <x:c r="D101" s="49" t="s">
        <x:v>204</x:v>
      </x:c>
      <x:c r="E101" s="49" t="s">
        <x:v>204</x:v>
      </x:c>
      <x:c r="F101" s="49" t="s">
        <x:v>204</x:v>
      </x:c>
      <x:c r="G101" s="49" t="s">
        <x:v>204</x:v>
      </x:c>
      <x:c r="H101" s="49" t="s">
        <x:v>204</x:v>
      </x:c>
      <x:c r="I101" s="49" t="s">
        <x:v>204</x:v>
      </x:c>
      <x:c r="J101" s="864"/>
      <x:c r="K101" s="864"/>
      <x:c r="L101" s="864"/>
      <x:c r="M101" s="864" t="s">
        <x:v>164</x:v>
      </x:c>
      <x:c r="N101" s="870" t="s">
        <x:v>157</x:v>
      </x:c>
      <x:c r="O101" s="875"/>
      <x:c r="P101" s="876"/>
    </x:row>
    <x:row r="102" spans="1:16" ht="42.75" customHeight="1">
      <x:c r="A102" s="868" t="s">
        <x:v>88</x:v>
      </x:c>
      <x:c r="B102" s="49" t="str">
        <x:f>'입력2(측정)'!B12</x:f>
        <x:v>5층 2-11반</x:v>
      </x:c>
      <x:c r="C102" s="49" t="str">
        <x:f>'입력2(측정)'!C12</x:f>
        <x:v>14:02 ~ 14:12</x:v>
      </x:c>
      <x:c r="D102" s="96">
        <x:f>'입력2(측정)'!D12</x:f>
        <x:v>3</x:v>
      </x:c>
      <x:c r="E102" s="117">
        <x:f>'입력2(측정)'!R12</x:f>
        <x:v>40.469999999999999</x:v>
      </x:c>
      <x:c r="F102" s="117">
        <x:f>'입력2(측정)'!S12</x:f>
        <x:v>42.600000000000001</x:v>
      </x:c>
      <x:c r="G102" s="117">
        <x:f>'입력2(측정)'!T12</x:f>
        <x:v>41.389999999999993</x:v>
      </x:c>
      <x:c r="H102" s="49" t="s">
        <x:v>41</x:v>
      </x:c>
      <x:c r="I102" s="49" t="str">
        <x:f>IF(AND(G102&gt;=30,G102&lt;=80),"적합","부적합")</x:f>
        <x:v>적합</x:v>
      </x:c>
      <x:c r="J102" s="864" t="s">
        <x:v>79</x:v>
      </x:c>
      <x:c r="K102" s="864" t="s">
        <x:v>86</x:v>
      </x:c>
      <x:c r="L102" s="864" t="s">
        <x:v>486</x:v>
      </x:c>
      <x:c r="M102" s="864" t="s">
        <x:v>356</x:v>
      </x:c>
      <x:c r="N102" s="864" t="s">
        <x:v>70</x:v>
      </x:c>
      <x:c r="O102" s="871" t="s">
        <x:v>225</x:v>
      </x:c>
      <x:c r="P102" s="872"/>
    </x:row>
    <x:row r="103" spans="1:16" ht="42.75" customHeight="1">
      <x:c r="A103" s="869"/>
      <x:c r="B103" s="49" t="str">
        <x:f>'입력2(측정)'!B13</x:f>
        <x:v>4층 2-4반</x:v>
      </x:c>
      <x:c r="C103" s="49" t="str">
        <x:f>'입력2(측정)'!C13</x:f>
        <x:v>14:13 ~ 14:23</x:v>
      </x:c>
      <x:c r="D103" s="96">
        <x:f>'입력2(측정)'!D13</x:f>
        <x:v>3</x:v>
      </x:c>
      <x:c r="E103" s="117">
        <x:f>'입력2(측정)'!R13</x:f>
        <x:v>44.799999999999997</x:v>
      </x:c>
      <x:c r="F103" s="117">
        <x:f>'입력2(측정)'!S13</x:f>
        <x:v>46.899999999999999</x:v>
      </x:c>
      <x:c r="G103" s="117">
        <x:f>'입력2(측정)'!T13</x:f>
        <x:v>45.666666666666664</x:v>
      </x:c>
      <x:c r="H103" s="49" t="s">
        <x:v>41</x:v>
      </x:c>
      <x:c r="I103" s="49" t="str">
        <x:f t="shared" ref="I103:I104" si="7">IF(AND(G103&gt;=30,G103&lt;=80),"적합","부적합")</x:f>
        <x:v>적합</x:v>
      </x:c>
      <x:c r="J103" s="864"/>
      <x:c r="K103" s="864"/>
      <x:c r="L103" s="864"/>
      <x:c r="M103" s="864"/>
      <x:c r="N103" s="864"/>
      <x:c r="O103" s="873"/>
      <x:c r="P103" s="874"/>
    </x:row>
    <x:row r="104" spans="1:16" ht="42.75" customHeight="1">
      <x:c r="A104" s="868"/>
      <x:c r="B104" s="49" t="str">
        <x:f>'입력2(측정)'!B14</x:f>
        <x:v>1층 (도제)회계실무실습실</x:v>
      </x:c>
      <x:c r="C104" s="49" t="str">
        <x:f>'입력2(측정)'!C14</x:f>
        <x:v>15:00 ~ 15:10</x:v>
      </x:c>
      <x:c r="D104" s="96">
        <x:f>'입력2(측정)'!D14</x:f>
        <x:v>3</x:v>
      </x:c>
      <x:c r="E104" s="117">
        <x:f>'입력2(측정)'!R14</x:f>
        <x:v>50.600000000000001</x:v>
      </x:c>
      <x:c r="F104" s="117">
        <x:f>'입력2(측정)'!S14</x:f>
        <x:v>52.799999999999997</x:v>
      </x:c>
      <x:c r="G104" s="117">
        <x:f>'입력2(측정)'!T14</x:f>
        <x:v>51.70000000000001</x:v>
      </x:c>
      <x:c r="H104" s="49" t="s">
        <x:v>41</x:v>
      </x:c>
      <x:c r="I104" s="49" t="str">
        <x:f t="shared" si="7"/>
        <x:v>적합</x:v>
      </x:c>
      <x:c r="J104" s="864"/>
      <x:c r="K104" s="864"/>
      <x:c r="L104" s="864"/>
      <x:c r="M104" s="864"/>
      <x:c r="N104" s="864"/>
      <x:c r="O104" s="873"/>
      <x:c r="P104" s="874"/>
    </x:row>
    <x:row r="105" spans="1:16" ht="42.75" customHeight="1">
      <x:c r="A105" s="869"/>
      <x:c r="B105" s="128" t="s">
        <x:v>204</x:v>
      </x:c>
      <x:c r="C105" s="128" t="s">
        <x:v>204</x:v>
      </x:c>
      <x:c r="D105" s="328" t="s">
        <x:v>204</x:v>
      </x:c>
      <x:c r="E105" s="124" t="s">
        <x:v>204</x:v>
      </x:c>
      <x:c r="F105" s="124" t="s">
        <x:v>204</x:v>
      </x:c>
      <x:c r="G105" s="124" t="s">
        <x:v>204</x:v>
      </x:c>
      <x:c r="H105" s="123" t="s">
        <x:v>204</x:v>
      </x:c>
      <x:c r="I105" s="123" t="s">
        <x:v>204</x:v>
      </x:c>
      <x:c r="J105" s="864"/>
      <x:c r="K105" s="864"/>
      <x:c r="L105" s="864"/>
      <x:c r="M105" s="864"/>
      <x:c r="N105" s="864"/>
      <x:c r="O105" s="873"/>
      <x:c r="P105" s="877"/>
    </x:row>
    <x:row r="106" spans="1:16" ht="42.75" customHeight="1">
      <x:c r="A106" s="869"/>
      <x:c r="B106" s="49" t="s">
        <x:v>204</x:v>
      </x:c>
      <x:c r="C106" s="49" t="s">
        <x:v>204</x:v>
      </x:c>
      <x:c r="D106" s="49" t="s">
        <x:v>204</x:v>
      </x:c>
      <x:c r="E106" s="49" t="s">
        <x:v>204</x:v>
      </x:c>
      <x:c r="F106" s="49" t="s">
        <x:v>204</x:v>
      </x:c>
      <x:c r="G106" s="49" t="s">
        <x:v>204</x:v>
      </x:c>
      <x:c r="H106" s="49" t="s">
        <x:v>204</x:v>
      </x:c>
      <x:c r="I106" s="49" t="s">
        <x:v>204</x:v>
      </x:c>
      <x:c r="J106" s="864"/>
      <x:c r="K106" s="864"/>
      <x:c r="L106" s="864"/>
      <x:c r="M106" s="864"/>
      <x:c r="N106" s="864"/>
      <x:c r="O106" s="871"/>
      <x:c r="P106" s="871"/>
    </x:row>
    <x:row r="107" spans="1:16" ht="42.75" customHeight="1">
      <x:c r="A107" s="868"/>
      <x:c r="B107" s="49" t="s">
        <x:v>204</x:v>
      </x:c>
      <x:c r="C107" s="49" t="s">
        <x:v>204</x:v>
      </x:c>
      <x:c r="D107" s="49" t="s">
        <x:v>204</x:v>
      </x:c>
      <x:c r="E107" s="49" t="s">
        <x:v>204</x:v>
      </x:c>
      <x:c r="F107" s="49" t="s">
        <x:v>204</x:v>
      </x:c>
      <x:c r="G107" s="49" t="s">
        <x:v>204</x:v>
      </x:c>
      <x:c r="H107" s="49" t="s">
        <x:v>204</x:v>
      </x:c>
      <x:c r="I107" s="49" t="s">
        <x:v>204</x:v>
      </x:c>
      <x:c r="J107" s="864"/>
      <x:c r="K107" s="864"/>
      <x:c r="L107" s="864"/>
      <x:c r="M107" s="864"/>
      <x:c r="N107" s="864"/>
      <x:c r="O107" s="873"/>
      <x:c r="P107" s="877"/>
    </x:row>
    <x:row r="108" spans="1:16" ht="42.75" customHeight="1">
      <x:c r="A108" s="870"/>
      <x:c r="B108" s="49" t="s">
        <x:v>204</x:v>
      </x:c>
      <x:c r="C108" s="49" t="s">
        <x:v>204</x:v>
      </x:c>
      <x:c r="D108" s="49" t="s">
        <x:v>204</x:v>
      </x:c>
      <x:c r="E108" s="49" t="s">
        <x:v>204</x:v>
      </x:c>
      <x:c r="F108" s="49" t="s">
        <x:v>204</x:v>
      </x:c>
      <x:c r="G108" s="49" t="s">
        <x:v>204</x:v>
      </x:c>
      <x:c r="H108" s="49" t="s">
        <x:v>204</x:v>
      </x:c>
      <x:c r="I108" s="49" t="s">
        <x:v>204</x:v>
      </x:c>
      <x:c r="J108" s="864"/>
      <x:c r="K108" s="864"/>
      <x:c r="L108" s="864"/>
      <x:c r="M108" s="864" t="s">
        <x:v>173</x:v>
      </x:c>
      <x:c r="N108" s="864"/>
      <x:c r="O108" s="875"/>
      <x:c r="P108" s="876"/>
    </x:row>
    <x:row r="109" spans="1:16" ht="42.75" customHeight="1">
      <x:c r="A109" s="868" t="s">
        <x:v>438</x:v>
      </x:c>
      <x:c r="B109" s="49" t="str">
        <x:f>'입력2(측정)'!B108</x:f>
        <x:v>5층 1-9반</x:v>
      </x:c>
      <x:c r="C109" s="49" t="str">
        <x:f>'입력2(측정)'!C108</x:f>
        <x:v>13:03 ~ 13:13</x:v>
      </x:c>
      <x:c r="D109" s="96">
        <x:f>'입력2(측정)'!D108</x:f>
        <x:v>2</x:v>
      </x:c>
      <x:c r="E109" s="73">
        <x:f>'입력2(측정)'!R108</x:f>
        <x:v>47.200000000000003</x:v>
      </x:c>
      <x:c r="F109" s="73">
        <x:f>'입력2(측정)'!S108</x:f>
        <x:v>48</x:v>
      </x:c>
      <x:c r="G109" s="73">
        <x:f>'입력2(측정)'!T108</x:f>
        <x:v>47.600000000000001</x:v>
      </x:c>
      <x:c r="H109" s="49" t="s">
        <x:v>491</x:v>
      </x:c>
      <x:c r="I109" s="49" t="str">
        <x:f>IF(G109&gt;55,"부적합","적합")</x:f>
        <x:v>적합</x:v>
      </x:c>
      <x:c r="J109" s="868" t="s">
        <x:v>58</x:v>
      </x:c>
      <x:c r="K109" s="868" t="s">
        <x:v>442</x:v>
      </x:c>
      <x:c r="L109" s="868" t="s">
        <x:v>429</x:v>
      </x:c>
      <x:c r="M109" s="868" t="s">
        <x:v>138</x:v>
      </x:c>
      <x:c r="N109" s="868" t="s">
        <x:v>67</x:v>
      </x:c>
      <x:c r="O109" s="871" t="s">
        <x:v>225</x:v>
      </x:c>
      <x:c r="P109" s="872"/>
    </x:row>
    <x:row r="110" spans="1:23" ht="42.75" customHeight="1">
      <x:c r="A110" s="869"/>
      <x:c r="B110" s="49" t="str">
        <x:f>'입력2(측정)'!B109</x:f>
        <x:v>4층 1-7반</x:v>
      </x:c>
      <x:c r="C110" s="49" t="str">
        <x:f>'입력2(측정)'!C109</x:f>
        <x:v>13:15 ~ 13:25</x:v>
      </x:c>
      <x:c r="D110" s="96">
        <x:f>'입력2(측정)'!D109</x:f>
        <x:v>2</x:v>
      </x:c>
      <x:c r="E110" s="73">
        <x:f>'입력2(측정)'!R109</x:f>
        <x:v>48.700000000000003</x:v>
      </x:c>
      <x:c r="F110" s="73">
        <x:f>'입력2(측정)'!S109</x:f>
        <x:v>49.200000000000003</x:v>
      </x:c>
      <x:c r="G110" s="73">
        <x:f>'입력2(측정)'!T109</x:f>
        <x:v>48.950000000000003</x:v>
      </x:c>
      <x:c r="H110" s="49" t="s">
        <x:v>491</x:v>
      </x:c>
      <x:c r="I110" s="49" t="str">
        <x:f>IF(G110&gt;55,"부적합","적합")</x:f>
        <x:v>적합</x:v>
      </x:c>
      <x:c r="J110" s="869"/>
      <x:c r="K110" s="869"/>
      <x:c r="L110" s="869"/>
      <x:c r="M110" s="869"/>
      <x:c r="N110" s="869"/>
      <x:c r="O110" s="873"/>
      <x:c r="P110" s="874"/>
      <x:c r="R110" s="847" t="s">
        <x:v>79</x:v>
      </x:c>
      <x:c r="S110" s="847" t="s">
        <x:v>86</x:v>
      </x:c>
      <x:c r="T110" s="847" t="s">
        <x:v>486</x:v>
      </x:c>
      <x:c r="U110" s="847" t="s">
        <x:v>356</x:v>
      </x:c>
      <x:c r="V110" s="847" t="s">
        <x:v>520</x:v>
      </x:c>
      <x:c r="W110" s="847" t="s">
        <x:v>269</x:v>
      </x:c>
    </x:row>
    <x:row r="111" spans="1:23" ht="42.75" customHeight="1">
      <x:c r="A111" s="869"/>
      <x:c r="B111" s="49" t="str">
        <x:f>'입력2(측정)'!B110</x:f>
        <x:v>2층 (도제)세무실무실습실</x:v>
      </x:c>
      <x:c r="C111" s="49" t="str">
        <x:f>'입력2(측정)'!C110</x:f>
        <x:v>13:26 ~ 13:36</x:v>
      </x:c>
      <x:c r="D111" s="96">
        <x:f>'입력2(측정)'!D110</x:f>
        <x:v>2</x:v>
      </x:c>
      <x:c r="E111" s="73">
        <x:f>'입력2(측정)'!R110</x:f>
        <x:v>50.100000000000001</x:v>
      </x:c>
      <x:c r="F111" s="73">
        <x:f>'입력2(측정)'!S110</x:f>
        <x:v>50.899999999999999</x:v>
      </x:c>
      <x:c r="G111" s="73">
        <x:f>'입력2(측정)'!T110</x:f>
        <x:v>50.5</x:v>
      </x:c>
      <x:c r="H111" s="49" t="s">
        <x:v>491</x:v>
      </x:c>
      <x:c r="I111" s="49" t="str">
        <x:f>IF(G111&gt;55,"부적합","적합")</x:f>
        <x:v>적합</x:v>
      </x:c>
      <x:c r="J111" s="869"/>
      <x:c r="K111" s="869"/>
      <x:c r="L111" s="869"/>
      <x:c r="M111" s="869"/>
      <x:c r="N111" s="869"/>
      <x:c r="O111" s="873"/>
      <x:c r="P111" s="874"/>
      <x:c r="R111" s="848"/>
      <x:c r="S111" s="848"/>
      <x:c r="T111" s="848"/>
      <x:c r="U111" s="848"/>
      <x:c r="V111" s="848"/>
      <x:c r="W111" s="848"/>
    </x:row>
    <x:row r="112" spans="1:23" ht="42.75" customHeight="1">
      <x:c r="A112" s="870"/>
      <x:c r="B112" s="128" t="s">
        <x:v>204</x:v>
      </x:c>
      <x:c r="C112" s="128" t="s">
        <x:v>204</x:v>
      </x:c>
      <x:c r="D112" s="328" t="s">
        <x:v>204</x:v>
      </x:c>
      <x:c r="E112" s="124" t="s">
        <x:v>204</x:v>
      </x:c>
      <x:c r="F112" s="124" t="s">
        <x:v>204</x:v>
      </x:c>
      <x:c r="G112" s="124" t="s">
        <x:v>204</x:v>
      </x:c>
      <x:c r="H112" s="123" t="s">
        <x:v>204</x:v>
      </x:c>
      <x:c r="I112" s="123" t="s">
        <x:v>204</x:v>
      </x:c>
      <x:c r="J112" s="870"/>
      <x:c r="K112" s="870"/>
      <x:c r="L112" s="870"/>
      <x:c r="M112" s="870"/>
      <x:c r="N112" s="870"/>
      <x:c r="O112" s="875"/>
      <x:c r="P112" s="876"/>
      <x:c r="R112" s="847"/>
      <x:c r="S112" s="847"/>
      <x:c r="T112" s="847"/>
      <x:c r="U112" s="847"/>
      <x:c r="V112" s="847"/>
      <x:c r="W112" s="847"/>
    </x:row>
    <x:row r="113" spans="1:23" ht="42.75" customHeight="1">
      <x:c r="A113" s="864" t="s">
        <x:v>244</x:v>
      </x:c>
      <x:c r="B113" s="128" t="str">
        <x:f>'입력2(측정)'!A135</x:f>
        <x:v>5층 2-11반</x:v>
      </x:c>
      <x:c r="C113" s="128" t="str">
        <x:f>'입력2(측정)'!C33</x:f>
        <x:v>14:02 ~ 14:12</x:v>
      </x:c>
      <x:c r="D113" s="96" t="s">
        <x:v>204</x:v>
      </x:c>
      <x:c r="E113" s="73" t="s">
        <x:v>204</x:v>
      </x:c>
      <x:c r="F113" s="73" t="s">
        <x:v>204</x:v>
      </x:c>
      <x:c r="G113" s="73">
        <x:f>'입력2(측정)'!B135</x:f>
        <x:v>57.04407951598963</x:v>
      </x:c>
      <x:c r="H113" s="49" t="s">
        <x:v>80</x:v>
      </x:c>
      <x:c r="I113" s="49" t="str">
        <x:f t="shared" ref="I113:I119" si="8">IF(G113&gt;=21.6,"적합","부적합")</x:f>
        <x:v>적합</x:v>
      </x:c>
      <x:c r="J113" s="864" t="s">
        <x:v>79</x:v>
      </x:c>
      <x:c r="K113" s="864" t="s">
        <x:v>86</x:v>
      </x:c>
      <x:c r="L113" s="864" t="s">
        <x:v>486</x:v>
      </x:c>
      <x:c r="M113" s="864" t="s">
        <x:v>356</x:v>
      </x:c>
      <x:c r="N113" s="864" t="s">
        <x:v>40</x:v>
      </x:c>
      <x:c r="O113" s="864"/>
      <x:c r="P113" s="864"/>
      <x:c r="R113" s="848"/>
      <x:c r="S113" s="848"/>
      <x:c r="T113" s="848"/>
      <x:c r="U113" s="848"/>
      <x:c r="V113" s="848"/>
      <x:c r="W113" s="848"/>
    </x:row>
    <x:row r="114" spans="1:23" ht="42.75" customHeight="1">
      <x:c r="A114" s="864"/>
      <x:c r="B114" s="128" t="str">
        <x:f>'입력2(측정)'!A136</x:f>
        <x:v>4층 2-4반</x:v>
      </x:c>
      <x:c r="C114" s="128" t="str">
        <x:f>'입력2(측정)'!C34</x:f>
        <x:v>14:13 ~ 14:23</x:v>
      </x:c>
      <x:c r="D114" s="96" t="s">
        <x:v>204</x:v>
      </x:c>
      <x:c r="E114" s="73" t="s">
        <x:v>204</x:v>
      </x:c>
      <x:c r="F114" s="73" t="s">
        <x:v>204</x:v>
      </x:c>
      <x:c r="G114" s="73">
        <x:f>'입력2(측정)'!B136</x:f>
        <x:v>57.996485061511407</x:v>
      </x:c>
      <x:c r="H114" s="49" t="s">
        <x:v>80</x:v>
      </x:c>
      <x:c r="I114" s="49" t="str">
        <x:f t="shared" si="8"/>
        <x:v>적합</x:v>
      </x:c>
      <x:c r="J114" s="864"/>
      <x:c r="K114" s="864"/>
      <x:c r="L114" s="864"/>
      <x:c r="M114" s="864"/>
      <x:c r="N114" s="864"/>
      <x:c r="O114" s="864"/>
      <x:c r="P114" s="864"/>
      <x:c r="R114" s="848"/>
      <x:c r="S114" s="848"/>
      <x:c r="T114" s="848"/>
      <x:c r="U114" s="848"/>
      <x:c r="V114" s="848"/>
      <x:c r="W114" s="848"/>
    </x:row>
    <x:row r="115" spans="1:23" ht="42.75" customHeight="1">
      <x:c r="A115" s="864"/>
      <x:c r="B115" s="108" t="str">
        <x:f>'입력2(측정)'!A137</x:f>
        <x:v>1층 (도제)회계실무실습실</x:v>
      </x:c>
      <x:c r="C115" s="128" t="str">
        <x:f>'입력2(측정)'!C35</x:f>
        <x:v>15:00 ~ 15:10</x:v>
      </x:c>
      <x:c r="D115" s="96" t="s">
        <x:v>204</x:v>
      </x:c>
      <x:c r="E115" s="73" t="s">
        <x:v>204</x:v>
      </x:c>
      <x:c r="F115" s="73" t="s">
        <x:v>204</x:v>
      </x:c>
      <x:c r="G115" s="73">
        <x:f>'입력2(측정)'!B137</x:f>
        <x:v>70.739549839228303</x:v>
      </x:c>
      <x:c r="H115" s="49" t="s">
        <x:v>80</x:v>
      </x:c>
      <x:c r="I115" s="49" t="str">
        <x:f t="shared" si="8"/>
        <x:v>적합</x:v>
      </x:c>
      <x:c r="J115" s="864"/>
      <x:c r="K115" s="864"/>
      <x:c r="L115" s="864"/>
      <x:c r="M115" s="864"/>
      <x:c r="N115" s="864"/>
      <x:c r="O115" s="864"/>
      <x:c r="P115" s="864"/>
      <x:c r="R115" s="848"/>
      <x:c r="S115" s="848"/>
      <x:c r="T115" s="848"/>
      <x:c r="U115" s="848"/>
      <x:c r="V115" s="848"/>
      <x:c r="W115" s="848"/>
    </x:row>
    <x:row r="116" spans="1:23" ht="42.75" customHeight="1">
      <x:c r="A116" s="864"/>
      <x:c r="B116" s="128" t="s">
        <x:v>204</x:v>
      </x:c>
      <x:c r="C116" s="128" t="s">
        <x:v>204</x:v>
      </x:c>
      <x:c r="D116" s="328" t="s">
        <x:v>204</x:v>
      </x:c>
      <x:c r="E116" s="124" t="s">
        <x:v>204</x:v>
      </x:c>
      <x:c r="F116" s="124" t="s">
        <x:v>204</x:v>
      </x:c>
      <x:c r="G116" s="124" t="s">
        <x:v>204</x:v>
      </x:c>
      <x:c r="H116" s="123" t="s">
        <x:v>204</x:v>
      </x:c>
      <x:c r="I116" s="123" t="s">
        <x:v>204</x:v>
      </x:c>
      <x:c r="J116" s="864"/>
      <x:c r="K116" s="864"/>
      <x:c r="L116" s="864"/>
      <x:c r="M116" s="864"/>
      <x:c r="N116" s="864"/>
      <x:c r="O116" s="864"/>
      <x:c r="P116" s="864"/>
      <x:c r="R116" s="848"/>
      <x:c r="S116" s="848"/>
      <x:c r="T116" s="848"/>
      <x:c r="U116" s="848"/>
      <x:c r="V116" s="848"/>
      <x:c r="W116" s="848"/>
    </x:row>
    <x:row r="117" spans="1:23" ht="42.75" hidden="1" customHeight="1">
      <x:c r="A117" s="864"/>
      <x:c r="B117" s="108" t="str">
        <x:f>'입력2(측정)'!B35</x:f>
        <x:v>1층 (도제)회계실무실습실</x:v>
      </x:c>
      <x:c r="C117" s="108" t="str">
        <x:f>'입력2(측정)'!C35</x:f>
        <x:v>15:00 ~ 15:10</x:v>
      </x:c>
      <x:c r="D117" s="96" t="s">
        <x:v>204</x:v>
      </x:c>
      <x:c r="E117" s="73" t="s">
        <x:v>204</x:v>
      </x:c>
      <x:c r="F117" s="73" t="s">
        <x:v>204</x:v>
      </x:c>
      <x:c r="G117" s="73" t="e">
        <x:f>'입력2(측정)'!#REF!</x:f>
        <x:v>#REF!</x:v>
      </x:c>
      <x:c r="H117" s="49" t="s">
        <x:v>80</x:v>
      </x:c>
      <x:c r="I117" s="49" t="e">
        <x:f t="shared" si="8"/>
        <x:v>#REF!</x:v>
      </x:c>
      <x:c r="J117" s="864"/>
      <x:c r="K117" s="864"/>
      <x:c r="L117" s="864"/>
      <x:c r="M117" s="864"/>
      <x:c r="N117" s="864"/>
      <x:c r="O117" s="864"/>
      <x:c r="P117" s="864"/>
      <x:c r="R117" s="849"/>
      <x:c r="S117" s="849"/>
      <x:c r="T117" s="849"/>
      <x:c r="U117" s="849"/>
      <x:c r="V117" s="849"/>
      <x:c r="W117" s="849"/>
    </x:row>
    <x:row r="118" spans="1:16" ht="42.75" hidden="1" customHeight="1">
      <x:c r="A118" s="864"/>
      <x:c r="B118" s="108">
        <x:f>'입력2(측정)'!B36</x:f>
        <x:v>0</x:v>
      </x:c>
      <x:c r="C118" s="108">
        <x:f>'입력2(측정)'!C36</x:f>
        <x:v>0</x:v>
      </x:c>
      <x:c r="D118" s="96" t="s">
        <x:v>204</x:v>
      </x:c>
      <x:c r="E118" s="73" t="s">
        <x:v>204</x:v>
      </x:c>
      <x:c r="F118" s="73" t="s">
        <x:v>204</x:v>
      </x:c>
      <x:c r="G118" s="73">
        <x:f>'입력2(측정)'!B139</x:f>
        <x:v>0</x:v>
      </x:c>
      <x:c r="H118" s="49" t="s">
        <x:v>80</x:v>
      </x:c>
      <x:c r="I118" s="49" t="str">
        <x:f t="shared" si="8"/>
        <x:v>부적합</x:v>
      </x:c>
      <x:c r="J118" s="864"/>
      <x:c r="K118" s="864"/>
      <x:c r="L118" s="864"/>
      <x:c r="M118" s="864"/>
      <x:c r="N118" s="864"/>
      <x:c r="O118" s="864"/>
      <x:c r="P118" s="864"/>
    </x:row>
    <x:row r="119" spans="1:16" ht="40.5" hidden="1" customHeight="1">
      <x:c r="A119" s="864"/>
      <x:c r="B119" s="108" t="str">
        <x:f>'입력2(측정)'!B37</x:f>
        <x:v>급식시설</x:v>
      </x:c>
      <x:c r="C119" s="108" t="str">
        <x:f>'입력2(측정)'!C37</x:f>
        <x:v>14:46 ~ 14:56</x:v>
      </x:c>
      <x:c r="D119" s="96" t="s">
        <x:v>204</x:v>
      </x:c>
      <x:c r="E119" s="73" t="s">
        <x:v>204</x:v>
      </x:c>
      <x:c r="F119" s="73" t="s">
        <x:v>204</x:v>
      </x:c>
      <x:c r="G119" s="73">
        <x:f>'입력2(측정)'!B140</x:f>
        <x:v>0</x:v>
      </x:c>
      <x:c r="H119" s="49" t="s">
        <x:v>80</x:v>
      </x:c>
      <x:c r="I119" s="49" t="str">
        <x:f t="shared" si="8"/>
        <x:v>부적합</x:v>
      </x:c>
      <x:c r="J119" s="864"/>
      <x:c r="K119" s="864"/>
      <x:c r="L119" s="864"/>
      <x:c r="M119" s="864"/>
      <x:c r="N119" s="864"/>
      <x:c r="O119" s="864"/>
      <x:c r="P119" s="864"/>
    </x:row>
    <x:row r="120" spans="1:16" ht="40.5" customHeight="1">
      <x:c r="A120" s="75"/>
      <x:c r="B120" s="144"/>
      <x:c r="C120" s="144"/>
      <x:c r="D120" s="331"/>
      <x:c r="E120" s="109"/>
      <x:c r="F120" s="109"/>
      <x:c r="G120" s="109"/>
      <x:c r="H120" s="75"/>
      <x:c r="I120" s="75"/>
      <x:c r="J120" s="75"/>
      <x:c r="K120" s="75"/>
      <x:c r="L120" s="75"/>
      <x:c r="M120" s="75"/>
      <x:c r="N120" s="75"/>
      <x:c r="O120" s="75"/>
      <x:c r="P120" s="75"/>
    </x:row>
    <x:row r="121" spans="1:16" ht="36" customHeight="1">
      <x:c r="A121" s="878" t="s">
        <x:v>3</x:v>
      </x:c>
      <x:c r="B121" s="878"/>
      <x:c r="C121" s="878"/>
      <x:c r="D121" s="878"/>
      <x:c r="E121" s="878"/>
      <x:c r="F121" s="878"/>
      <x:c r="G121" s="878"/>
      <x:c r="H121" s="878"/>
      <x:c r="I121" s="878"/>
      <x:c r="J121" s="878"/>
      <x:c r="K121" s="878"/>
      <x:c r="L121" s="878"/>
      <x:c r="M121" s="878"/>
      <x:c r="N121" s="878"/>
      <x:c r="O121" s="878"/>
      <x:c r="P121" s="878"/>
    </x:row>
    <x:row r="122" spans="1:16" ht="39" customHeight="1">
      <x:c r="A122" s="879" t="s">
        <x:v>108</x:v>
      </x:c>
      <x:c r="B122" s="880"/>
      <x:c r="C122" s="880" t="s">
        <x:v>143</x:v>
      </x:c>
      <x:c r="D122" s="880"/>
      <x:c r="E122" s="880"/>
      <x:c r="F122" s="880"/>
      <x:c r="G122" s="880"/>
      <x:c r="H122" s="880"/>
      <x:c r="I122" s="880"/>
      <x:c r="J122" s="880"/>
      <x:c r="K122" s="880"/>
      <x:c r="L122" s="880"/>
      <x:c r="M122" s="880"/>
      <x:c r="N122" s="880"/>
      <x:c r="O122" s="83" t="s">
        <x:v>83</x:v>
      </x:c>
      <x:c r="P122" s="76" t="s">
        <x:v>115</x:v>
      </x:c>
    </x:row>
    <x:row r="123" spans="1:16" ht="39" customHeight="1">
      <x:c r="A123" s="881" t="s">
        <x:v>306</x:v>
      </x:c>
      <x:c r="B123" s="882"/>
      <x:c r="C123" s="883" t="s">
        <x:v>519</x:v>
      </x:c>
      <x:c r="D123" s="883"/>
      <x:c r="E123" s="883"/>
      <x:c r="F123" s="883"/>
      <x:c r="G123" s="883"/>
      <x:c r="H123" s="883"/>
      <x:c r="I123" s="883"/>
      <x:c r="J123" s="883"/>
      <x:c r="K123" s="883"/>
      <x:c r="L123" s="883"/>
      <x:c r="M123" s="883"/>
      <x:c r="N123" s="883"/>
      <x:c r="O123" s="79"/>
      <x:c r="P123" s="77"/>
    </x:row>
    <x:row r="124" spans="1:16" ht="39" customHeight="1">
      <x:c r="A124" s="881"/>
      <x:c r="B124" s="882"/>
      <x:c r="C124" s="883" t="s">
        <x:v>523</x:v>
      </x:c>
      <x:c r="D124" s="883"/>
      <x:c r="E124" s="883"/>
      <x:c r="F124" s="883"/>
      <x:c r="G124" s="883"/>
      <x:c r="H124" s="883"/>
      <x:c r="I124" s="883"/>
      <x:c r="J124" s="883"/>
      <x:c r="K124" s="883"/>
      <x:c r="L124" s="883"/>
      <x:c r="M124" s="883"/>
      <x:c r="N124" s="883"/>
      <x:c r="O124" s="79"/>
      <x:c r="P124" s="77"/>
    </x:row>
    <x:row r="125" spans="1:16" ht="39" customHeight="1">
      <x:c r="A125" s="881"/>
      <x:c r="B125" s="882"/>
      <x:c r="C125" s="883" t="s">
        <x:v>333</x:v>
      </x:c>
      <x:c r="D125" s="883"/>
      <x:c r="E125" s="883"/>
      <x:c r="F125" s="883"/>
      <x:c r="G125" s="883"/>
      <x:c r="H125" s="883"/>
      <x:c r="I125" s="883"/>
      <x:c r="J125" s="883"/>
      <x:c r="K125" s="883"/>
      <x:c r="L125" s="883"/>
      <x:c r="M125" s="883"/>
      <x:c r="N125" s="883"/>
      <x:c r="O125" s="79"/>
      <x:c r="P125" s="77"/>
    </x:row>
    <x:row r="126" spans="1:16" ht="39" customHeight="1">
      <x:c r="A126" s="881"/>
      <x:c r="B126" s="882"/>
      <x:c r="C126" s="883" t="s">
        <x:v>336</x:v>
      </x:c>
      <x:c r="D126" s="883"/>
      <x:c r="E126" s="883"/>
      <x:c r="F126" s="883"/>
      <x:c r="G126" s="883"/>
      <x:c r="H126" s="883"/>
      <x:c r="I126" s="883"/>
      <x:c r="J126" s="883"/>
      <x:c r="K126" s="883"/>
      <x:c r="L126" s="883"/>
      <x:c r="M126" s="883"/>
      <x:c r="N126" s="883"/>
      <x:c r="O126" s="79"/>
      <x:c r="P126" s="77"/>
    </x:row>
    <x:row r="127" spans="1:16" ht="39" customHeight="1">
      <x:c r="A127" s="881" t="s">
        <x:v>57</x:v>
      </x:c>
      <x:c r="B127" s="882"/>
      <x:c r="C127" s="883" t="s">
        <x:v>337</x:v>
      </x:c>
      <x:c r="D127" s="883"/>
      <x:c r="E127" s="883"/>
      <x:c r="F127" s="883"/>
      <x:c r="G127" s="883"/>
      <x:c r="H127" s="883"/>
      <x:c r="I127" s="883"/>
      <x:c r="J127" s="883"/>
      <x:c r="K127" s="883"/>
      <x:c r="L127" s="883"/>
      <x:c r="M127" s="883"/>
      <x:c r="N127" s="883"/>
      <x:c r="O127" s="79"/>
      <x:c r="P127" s="77"/>
    </x:row>
    <x:row r="128" spans="1:16" ht="39" customHeight="1">
      <x:c r="A128" s="881"/>
      <x:c r="B128" s="882"/>
      <x:c r="C128" s="883" t="s">
        <x:v>5</x:v>
      </x:c>
      <x:c r="D128" s="883"/>
      <x:c r="E128" s="883"/>
      <x:c r="F128" s="883"/>
      <x:c r="G128" s="883"/>
      <x:c r="H128" s="883"/>
      <x:c r="I128" s="883"/>
      <x:c r="J128" s="883"/>
      <x:c r="K128" s="883"/>
      <x:c r="L128" s="883"/>
      <x:c r="M128" s="883"/>
      <x:c r="N128" s="883"/>
      <x:c r="O128" s="79"/>
      <x:c r="P128" s="77"/>
    </x:row>
    <x:row r="129" spans="1:16" ht="39" customHeight="1">
      <x:c r="A129" s="881"/>
      <x:c r="B129" s="884"/>
      <x:c r="C129" s="885" t="s">
        <x:v>1</x:v>
      </x:c>
      <x:c r="D129" s="886"/>
      <x:c r="E129" s="886"/>
      <x:c r="F129" s="886"/>
      <x:c r="G129" s="886"/>
      <x:c r="H129" s="886"/>
      <x:c r="I129" s="886"/>
      <x:c r="J129" s="886"/>
      <x:c r="K129" s="886"/>
      <x:c r="L129" s="886"/>
      <x:c r="M129" s="886"/>
      <x:c r="N129" s="887"/>
      <x:c r="O129" s="80"/>
      <x:c r="P129" s="888"/>
    </x:row>
    <x:row r="130" spans="1:16" ht="39" customHeight="1">
      <x:c r="A130" s="881"/>
      <x:c r="B130" s="884"/>
      <x:c r="C130" s="890" t="s">
        <x:v>389</x:v>
      </x:c>
      <x:c r="D130" s="890"/>
      <x:c r="E130" s="890"/>
      <x:c r="F130" s="890"/>
      <x:c r="G130" s="890"/>
      <x:c r="H130" s="890"/>
      <x:c r="I130" s="890"/>
      <x:c r="J130" s="890"/>
      <x:c r="K130" s="890"/>
      <x:c r="L130" s="890"/>
      <x:c r="M130" s="890"/>
      <x:c r="N130" s="890"/>
      <x:c r="O130" s="81"/>
      <x:c r="P130" s="889"/>
    </x:row>
    <x:row r="131" spans="1:16" ht="39" customHeight="1">
      <x:c r="A131" s="881" t="s">
        <x:v>257</x:v>
      </x:c>
      <x:c r="B131" s="882"/>
      <x:c r="C131" s="883" t="s">
        <x:v>319</x:v>
      </x:c>
      <x:c r="D131" s="883"/>
      <x:c r="E131" s="883"/>
      <x:c r="F131" s="883"/>
      <x:c r="G131" s="883"/>
      <x:c r="H131" s="883"/>
      <x:c r="I131" s="883"/>
      <x:c r="J131" s="883"/>
      <x:c r="K131" s="883"/>
      <x:c r="L131" s="883"/>
      <x:c r="M131" s="883"/>
      <x:c r="N131" s="883"/>
      <x:c r="O131" s="79"/>
      <x:c r="P131" s="77"/>
    </x:row>
    <x:row r="132" spans="1:16" ht="39" customHeight="1">
      <x:c r="A132" s="891" t="s">
        <x:v>385</x:v>
      </x:c>
      <x:c r="B132" s="882"/>
      <x:c r="C132" s="883" t="s">
        <x:v>321</x:v>
      </x:c>
      <x:c r="D132" s="883"/>
      <x:c r="E132" s="883"/>
      <x:c r="F132" s="883"/>
      <x:c r="G132" s="883"/>
      <x:c r="H132" s="883"/>
      <x:c r="I132" s="883"/>
      <x:c r="J132" s="883"/>
      <x:c r="K132" s="883"/>
      <x:c r="L132" s="883"/>
      <x:c r="M132" s="883"/>
      <x:c r="N132" s="883"/>
      <x:c r="O132" s="79"/>
      <x:c r="P132" s="77"/>
    </x:row>
    <x:row r="133" spans="1:16" ht="39" customHeight="1">
      <x:c r="A133" s="881"/>
      <x:c r="B133" s="882"/>
      <x:c r="C133" s="883" t="s">
        <x:v>332</x:v>
      </x:c>
      <x:c r="D133" s="883"/>
      <x:c r="E133" s="883"/>
      <x:c r="F133" s="883"/>
      <x:c r="G133" s="883"/>
      <x:c r="H133" s="883"/>
      <x:c r="I133" s="883"/>
      <x:c r="J133" s="883"/>
      <x:c r="K133" s="883"/>
      <x:c r="L133" s="883"/>
      <x:c r="M133" s="883"/>
      <x:c r="N133" s="883"/>
      <x:c r="O133" s="79"/>
      <x:c r="P133" s="77"/>
    </x:row>
    <x:row r="134" spans="1:16" ht="39" customHeight="1">
      <x:c r="A134" s="881"/>
      <x:c r="B134" s="882"/>
      <x:c r="C134" s="883" t="s">
        <x:v>522</x:v>
      </x:c>
      <x:c r="D134" s="883"/>
      <x:c r="E134" s="883"/>
      <x:c r="F134" s="883"/>
      <x:c r="G134" s="883"/>
      <x:c r="H134" s="883"/>
      <x:c r="I134" s="883"/>
      <x:c r="J134" s="883"/>
      <x:c r="K134" s="883"/>
      <x:c r="L134" s="883"/>
      <x:c r="M134" s="883"/>
      <x:c r="N134" s="883"/>
      <x:c r="O134" s="79"/>
      <x:c r="P134" s="77"/>
    </x:row>
    <x:row r="135" spans="1:16" ht="39" customHeight="1">
      <x:c r="A135" s="881"/>
      <x:c r="B135" s="882"/>
      <x:c r="C135" s="883" t="s">
        <x:v>517</x:v>
      </x:c>
      <x:c r="D135" s="883"/>
      <x:c r="E135" s="883"/>
      <x:c r="F135" s="883"/>
      <x:c r="G135" s="883"/>
      <x:c r="H135" s="883"/>
      <x:c r="I135" s="883"/>
      <x:c r="J135" s="883"/>
      <x:c r="K135" s="883"/>
      <x:c r="L135" s="883"/>
      <x:c r="M135" s="883"/>
      <x:c r="N135" s="883"/>
      <x:c r="O135" s="79"/>
      <x:c r="P135" s="77"/>
    </x:row>
    <x:row r="136" spans="1:16" ht="39" customHeight="1">
      <x:c r="A136" s="881" t="s">
        <x:v>161</x:v>
      </x:c>
      <x:c r="B136" s="882"/>
      <x:c r="C136" s="883" t="s">
        <x:v>524</x:v>
      </x:c>
      <x:c r="D136" s="883"/>
      <x:c r="E136" s="883"/>
      <x:c r="F136" s="883"/>
      <x:c r="G136" s="883"/>
      <x:c r="H136" s="883"/>
      <x:c r="I136" s="883"/>
      <x:c r="J136" s="883"/>
      <x:c r="K136" s="883"/>
      <x:c r="L136" s="883"/>
      <x:c r="M136" s="883"/>
      <x:c r="N136" s="883"/>
      <x:c r="O136" s="79"/>
      <x:c r="P136" s="77"/>
    </x:row>
    <x:row r="137" spans="1:16" ht="39" customHeight="1">
      <x:c r="A137" s="881"/>
      <x:c r="B137" s="882"/>
      <x:c r="C137" s="883" t="s">
        <x:v>325</x:v>
      </x:c>
      <x:c r="D137" s="883"/>
      <x:c r="E137" s="883"/>
      <x:c r="F137" s="883"/>
      <x:c r="G137" s="883"/>
      <x:c r="H137" s="883"/>
      <x:c r="I137" s="883"/>
      <x:c r="J137" s="883"/>
      <x:c r="K137" s="883"/>
      <x:c r="L137" s="883"/>
      <x:c r="M137" s="883"/>
      <x:c r="N137" s="883"/>
      <x:c r="O137" s="79"/>
      <x:c r="P137" s="77"/>
    </x:row>
    <x:row r="138" spans="1:16" ht="39" customHeight="1">
      <x:c r="A138" s="881"/>
      <x:c r="B138" s="882"/>
      <x:c r="C138" s="883" t="s">
        <x:v>508</x:v>
      </x:c>
      <x:c r="D138" s="883"/>
      <x:c r="E138" s="883"/>
      <x:c r="F138" s="883"/>
      <x:c r="G138" s="883"/>
      <x:c r="H138" s="883"/>
      <x:c r="I138" s="883"/>
      <x:c r="J138" s="883"/>
      <x:c r="K138" s="883"/>
      <x:c r="L138" s="883"/>
      <x:c r="M138" s="883"/>
      <x:c r="N138" s="883"/>
      <x:c r="O138" s="79"/>
      <x:c r="P138" s="77"/>
    </x:row>
    <x:row r="139" spans="1:16" ht="39" customHeight="1">
      <x:c r="A139" s="881"/>
      <x:c r="B139" s="882"/>
      <x:c r="C139" s="883" t="s">
        <x:v>324</x:v>
      </x:c>
      <x:c r="D139" s="883"/>
      <x:c r="E139" s="883"/>
      <x:c r="F139" s="883"/>
      <x:c r="G139" s="883"/>
      <x:c r="H139" s="883"/>
      <x:c r="I139" s="883"/>
      <x:c r="J139" s="883"/>
      <x:c r="K139" s="883"/>
      <x:c r="L139" s="883"/>
      <x:c r="M139" s="883"/>
      <x:c r="N139" s="883"/>
      <x:c r="O139" s="79"/>
      <x:c r="P139" s="77"/>
    </x:row>
    <x:row r="140" spans="1:16" ht="39" customHeight="1">
      <x:c r="A140" s="891" t="s">
        <x:v>483</x:v>
      </x:c>
      <x:c r="B140" s="864"/>
      <x:c r="C140" s="883" t="s">
        <x:v>318</x:v>
      </x:c>
      <x:c r="D140" s="883"/>
      <x:c r="E140" s="883"/>
      <x:c r="F140" s="883"/>
      <x:c r="G140" s="883"/>
      <x:c r="H140" s="883"/>
      <x:c r="I140" s="883"/>
      <x:c r="J140" s="883"/>
      <x:c r="K140" s="883"/>
      <x:c r="L140" s="883"/>
      <x:c r="M140" s="883"/>
      <x:c r="N140" s="883"/>
      <x:c r="O140" s="79"/>
      <x:c r="P140" s="77"/>
    </x:row>
    <x:row r="141" spans="1:16" ht="39" customHeight="1">
      <x:c r="A141" s="891"/>
      <x:c r="B141" s="864"/>
      <x:c r="C141" s="883" t="s">
        <x:v>512</x:v>
      </x:c>
      <x:c r="D141" s="883"/>
      <x:c r="E141" s="883"/>
      <x:c r="F141" s="883"/>
      <x:c r="G141" s="883"/>
      <x:c r="H141" s="883"/>
      <x:c r="I141" s="883"/>
      <x:c r="J141" s="883"/>
      <x:c r="K141" s="883"/>
      <x:c r="L141" s="883"/>
      <x:c r="M141" s="883"/>
      <x:c r="N141" s="883"/>
      <x:c r="O141" s="79"/>
      <x:c r="P141" s="77"/>
    </x:row>
    <x:row r="142" spans="1:16" ht="39" customHeight="1">
      <x:c r="A142" s="891"/>
      <x:c r="B142" s="864"/>
      <x:c r="C142" s="883" t="s">
        <x:v>516</x:v>
      </x:c>
      <x:c r="D142" s="883"/>
      <x:c r="E142" s="883"/>
      <x:c r="F142" s="883"/>
      <x:c r="G142" s="883"/>
      <x:c r="H142" s="883"/>
      <x:c r="I142" s="883"/>
      <x:c r="J142" s="883"/>
      <x:c r="K142" s="883"/>
      <x:c r="L142" s="883"/>
      <x:c r="M142" s="883"/>
      <x:c r="N142" s="883"/>
      <x:c r="O142" s="79"/>
      <x:c r="P142" s="77"/>
    </x:row>
    <x:row r="143" spans="1:16" ht="39" customHeight="1">
      <x:c r="A143" s="891"/>
      <x:c r="B143" s="864"/>
      <x:c r="C143" s="883" t="s">
        <x:v>334</x:v>
      </x:c>
      <x:c r="D143" s="883"/>
      <x:c r="E143" s="883"/>
      <x:c r="F143" s="883"/>
      <x:c r="G143" s="883"/>
      <x:c r="H143" s="883"/>
      <x:c r="I143" s="883"/>
      <x:c r="J143" s="883"/>
      <x:c r="K143" s="883"/>
      <x:c r="L143" s="883"/>
      <x:c r="M143" s="883"/>
      <x:c r="N143" s="883"/>
      <x:c r="O143" s="79"/>
      <x:c r="P143" s="77"/>
    </x:row>
    <x:row r="144" spans="1:16" ht="39" customHeight="1">
      <x:c r="A144" s="891"/>
      <x:c r="B144" s="864"/>
      <x:c r="C144" s="883" t="s">
        <x:v>514</x:v>
      </x:c>
      <x:c r="D144" s="883"/>
      <x:c r="E144" s="883"/>
      <x:c r="F144" s="883"/>
      <x:c r="G144" s="883"/>
      <x:c r="H144" s="883"/>
      <x:c r="I144" s="883"/>
      <x:c r="J144" s="883"/>
      <x:c r="K144" s="883"/>
      <x:c r="L144" s="883"/>
      <x:c r="M144" s="883"/>
      <x:c r="N144" s="883"/>
      <x:c r="O144" s="79"/>
      <x:c r="P144" s="77"/>
    </x:row>
    <x:row r="145" spans="1:16" ht="39" customHeight="1">
      <x:c r="A145" s="892"/>
      <x:c r="B145" s="893"/>
      <x:c r="C145" s="894" t="s">
        <x:v>511</x:v>
      </x:c>
      <x:c r="D145" s="894"/>
      <x:c r="E145" s="894"/>
      <x:c r="F145" s="894"/>
      <x:c r="G145" s="894"/>
      <x:c r="H145" s="894"/>
      <x:c r="I145" s="894"/>
      <x:c r="J145" s="894"/>
      <x:c r="K145" s="894"/>
      <x:c r="L145" s="894"/>
      <x:c r="M145" s="894"/>
      <x:c r="N145" s="894"/>
      <x:c r="O145" s="82"/>
      <x:c r="P145" s="78"/>
    </x:row>
    <x:row r="146" spans="1:16" ht="31.5" customHeight="1">
      <x:c r="A146" s="75"/>
      <x:c r="B146" s="75"/>
      <x:c r="C146" s="85"/>
      <x:c r="D146" s="332"/>
      <x:c r="E146" s="84"/>
      <x:c r="F146" s="84"/>
      <x:c r="G146" s="84"/>
      <x:c r="H146" s="85"/>
      <x:c r="I146" s="85"/>
      <x:c r="J146" s="84"/>
      <x:c r="K146" s="84"/>
      <x:c r="L146" s="84"/>
      <x:c r="M146" s="120"/>
      <x:c r="N146" s="120"/>
      <x:c r="O146" s="121"/>
      <x:c r="P146" s="122"/>
    </x:row>
    <x:row r="147" spans="1:16" ht="33" customHeight="1">
      <x:c r="A147" s="895" t="s">
        <x:v>0</x:v>
      </x:c>
      <x:c r="B147" s="895"/>
      <x:c r="C147" s="895"/>
      <x:c r="D147" s="895"/>
      <x:c r="E147" s="895"/>
      <x:c r="F147" s="895"/>
      <x:c r="G147" s="895"/>
      <x:c r="H147" s="895"/>
      <x:c r="I147" s="895"/>
      <x:c r="J147" s="895"/>
      <x:c r="K147" s="895"/>
      <x:c r="L147" s="895"/>
      <x:c r="M147" s="896"/>
      <x:c r="N147" s="896"/>
      <x:c r="O147" s="896"/>
      <x:c r="P147" s="896"/>
    </x:row>
    <x:row r="148" spans="1:16" ht="408.89999999999998" customHeight="1">
      <x:c r="A148" s="897" t="s">
        <x:v>344</x:v>
      </x:c>
      <x:c r="B148" s="897"/>
      <x:c r="C148" s="897"/>
      <x:c r="D148" s="897"/>
      <x:c r="E148" s="897"/>
      <x:c r="F148" s="897"/>
      <x:c r="G148" s="897"/>
      <x:c r="H148" s="897"/>
      <x:c r="I148" s="897"/>
      <x:c r="J148" s="897"/>
      <x:c r="K148" s="897"/>
      <x:c r="L148" s="897"/>
      <x:c r="M148" s="897"/>
      <x:c r="N148" s="897"/>
      <x:c r="O148" s="897"/>
      <x:c r="P148" s="897"/>
    </x:row>
    <x:row r="149" spans="1:16">
      <x:c r="A149" s="897"/>
      <x:c r="B149" s="897"/>
      <x:c r="C149" s="897"/>
      <x:c r="D149" s="897"/>
      <x:c r="E149" s="897"/>
      <x:c r="F149" s="897"/>
      <x:c r="G149" s="897"/>
      <x:c r="H149" s="897"/>
      <x:c r="I149" s="897"/>
      <x:c r="J149" s="897"/>
      <x:c r="K149" s="897"/>
      <x:c r="L149" s="897"/>
      <x:c r="M149" s="897"/>
      <x:c r="N149" s="897"/>
      <x:c r="O149" s="897"/>
      <x:c r="P149" s="897"/>
    </x:row>
    <x:row r="150" spans="1:16" ht="36" customHeight="1">
      <x:c r="A150" s="897"/>
      <x:c r="B150" s="897"/>
      <x:c r="C150" s="897"/>
      <x:c r="D150" s="897"/>
      <x:c r="E150" s="897"/>
      <x:c r="F150" s="897"/>
      <x:c r="G150" s="897"/>
      <x:c r="H150" s="897"/>
      <x:c r="I150" s="897"/>
      <x:c r="J150" s="897"/>
      <x:c r="K150" s="897"/>
      <x:c r="L150" s="897"/>
      <x:c r="M150" s="897"/>
      <x:c r="N150" s="897"/>
      <x:c r="O150" s="897"/>
      <x:c r="P150" s="897"/>
    </x:row>
    <x:row r="151" spans="2:16">
      <x:c r="B151" s="896"/>
      <x:c r="C151" s="896"/>
      <x:c r="D151" s="896"/>
      <x:c r="E151" s="896"/>
      <x:c r="F151" s="896"/>
      <x:c r="G151" s="896"/>
      <x:c r="H151" s="896"/>
      <x:c r="I151" s="896"/>
      <x:c r="J151" s="896"/>
      <x:c r="K151" s="896"/>
      <x:c r="L151" s="896"/>
      <x:c r="M151" s="896"/>
      <x:c r="N151" s="896"/>
      <x:c r="O151" s="896"/>
      <x:c r="P151" s="896"/>
    </x:row>
    <x:row r="152" spans="2:16">
      <x:c r="B152" s="896"/>
      <x:c r="C152" s="896"/>
      <x:c r="D152" s="896"/>
      <x:c r="E152" s="896"/>
      <x:c r="F152" s="896"/>
      <x:c r="G152" s="896"/>
      <x:c r="H152" s="896"/>
      <x:c r="I152" s="896"/>
      <x:c r="J152" s="896"/>
      <x:c r="K152" s="896"/>
      <x:c r="L152" s="896"/>
      <x:c r="M152" s="896"/>
      <x:c r="N152" s="896"/>
      <x:c r="O152" s="896"/>
      <x:c r="P152" s="896"/>
    </x:row>
    <x:row r="153" spans="2:16">
      <x:c r="B153" s="896"/>
      <x:c r="C153" s="896"/>
      <x:c r="D153" s="896"/>
      <x:c r="E153" s="896"/>
      <x:c r="F153" s="896"/>
      <x:c r="G153" s="896"/>
      <x:c r="H153" s="896"/>
      <x:c r="I153" s="896"/>
      <x:c r="J153" s="896"/>
      <x:c r="K153" s="896"/>
      <x:c r="L153" s="896"/>
      <x:c r="M153" s="896"/>
      <x:c r="N153" s="896"/>
      <x:c r="O153" s="896"/>
      <x:c r="P153" s="896"/>
    </x:row>
    <x:row r="154" spans="2:16">
      <x:c r="B154" s="896"/>
      <x:c r="C154" s="896"/>
      <x:c r="D154" s="896"/>
      <x:c r="E154" s="896"/>
      <x:c r="F154" s="896"/>
      <x:c r="G154" s="896"/>
      <x:c r="H154" s="896"/>
      <x:c r="I154" s="896"/>
      <x:c r="J154" s="896"/>
      <x:c r="K154" s="896"/>
      <x:c r="L154" s="896"/>
      <x:c r="M154" s="896"/>
      <x:c r="N154" s="896"/>
      <x:c r="O154" s="896"/>
      <x:c r="P154" s="896"/>
    </x:row>
    <x:row r="155" spans="2:16">
      <x:c r="B155" s="896"/>
      <x:c r="C155" s="896"/>
      <x:c r="D155" s="896"/>
      <x:c r="E155" s="896"/>
      <x:c r="F155" s="896"/>
      <x:c r="G155" s="896"/>
      <x:c r="H155" s="896"/>
      <x:c r="I155" s="896"/>
      <x:c r="J155" s="896"/>
      <x:c r="K155" s="896"/>
      <x:c r="L155" s="896"/>
      <x:c r="M155" s="896"/>
      <x:c r="N155" s="896"/>
      <x:c r="O155" s="896"/>
      <x:c r="P155" s="896"/>
    </x:row>
    <x:row r="156" spans="2:16">
      <x:c r="B156" s="896"/>
      <x:c r="C156" s="896"/>
      <x:c r="D156" s="896"/>
      <x:c r="E156" s="896"/>
      <x:c r="F156" s="896"/>
      <x:c r="G156" s="896"/>
      <x:c r="H156" s="896"/>
      <x:c r="I156" s="896"/>
      <x:c r="J156" s="896"/>
      <x:c r="K156" s="896"/>
      <x:c r="L156" s="896"/>
      <x:c r="M156" s="896"/>
      <x:c r="N156" s="896"/>
      <x:c r="O156" s="896"/>
      <x:c r="P156" s="896"/>
    </x:row>
    <x:row r="157" spans="2:16">
      <x:c r="B157" s="896"/>
      <x:c r="C157" s="896"/>
      <x:c r="D157" s="896"/>
      <x:c r="E157" s="896"/>
      <x:c r="F157" s="896"/>
      <x:c r="G157" s="896"/>
      <x:c r="H157" s="896"/>
      <x:c r="I157" s="896"/>
      <x:c r="J157" s="896"/>
      <x:c r="K157" s="896"/>
      <x:c r="L157" s="896"/>
      <x:c r="M157" s="896"/>
      <x:c r="N157" s="896"/>
      <x:c r="O157" s="896"/>
      <x:c r="P157" s="896"/>
    </x:row>
    <x:row r="158" spans="2:16">
      <x:c r="B158" s="896"/>
      <x:c r="C158" s="896"/>
      <x:c r="D158" s="896"/>
      <x:c r="E158" s="896"/>
      <x:c r="F158" s="896"/>
      <x:c r="G158" s="896"/>
      <x:c r="H158" s="896"/>
      <x:c r="I158" s="896"/>
      <x:c r="J158" s="896"/>
      <x:c r="K158" s="896"/>
      <x:c r="L158" s="896"/>
      <x:c r="M158" s="896"/>
      <x:c r="N158" s="896"/>
      <x:c r="O158" s="896"/>
      <x:c r="P158" s="896"/>
    </x:row>
    <x:row r="159" spans="2:16">
      <x:c r="B159" s="896"/>
      <x:c r="C159" s="896"/>
      <x:c r="D159" s="896"/>
      <x:c r="E159" s="896"/>
      <x:c r="F159" s="896"/>
      <x:c r="G159" s="896"/>
      <x:c r="H159" s="896"/>
      <x:c r="I159" s="896"/>
      <x:c r="J159" s="896"/>
      <x:c r="K159" s="896"/>
      <x:c r="L159" s="896"/>
      <x:c r="M159" s="896"/>
      <x:c r="N159" s="896"/>
      <x:c r="O159" s="896"/>
      <x:c r="P159" s="896"/>
    </x:row>
    <x:row r="160" spans="2:16">
      <x:c r="B160" s="896"/>
      <x:c r="C160" s="896"/>
      <x:c r="D160" s="896"/>
      <x:c r="E160" s="896"/>
      <x:c r="F160" s="896"/>
      <x:c r="G160" s="896"/>
      <x:c r="H160" s="896"/>
      <x:c r="I160" s="896"/>
      <x:c r="J160" s="896"/>
      <x:c r="K160" s="896"/>
      <x:c r="L160" s="896"/>
      <x:c r="M160" s="896"/>
      <x:c r="N160" s="896"/>
      <x:c r="O160" s="896"/>
      <x:c r="P160" s="896"/>
    </x:row>
    <x:row r="161" spans="2:16">
      <x:c r="B161" s="896"/>
      <x:c r="C161" s="896"/>
      <x:c r="D161" s="896"/>
      <x:c r="E161" s="896"/>
      <x:c r="F161" s="896"/>
      <x:c r="G161" s="896"/>
      <x:c r="H161" s="896"/>
      <x:c r="I161" s="896"/>
      <x:c r="J161" s="896"/>
      <x:c r="K161" s="896"/>
      <x:c r="L161" s="896"/>
      <x:c r="M161" s="896"/>
      <x:c r="N161" s="896"/>
      <x:c r="O161" s="896"/>
      <x:c r="P161" s="896"/>
    </x:row>
    <x:row r="162" spans="2:16">
      <x:c r="B162" s="896"/>
      <x:c r="C162" s="896"/>
      <x:c r="D162" s="896"/>
      <x:c r="E162" s="896"/>
      <x:c r="F162" s="896"/>
      <x:c r="G162" s="896"/>
      <x:c r="H162" s="896"/>
      <x:c r="I162" s="896"/>
      <x:c r="J162" s="896"/>
      <x:c r="K162" s="896"/>
      <x:c r="L162" s="896"/>
      <x:c r="M162" s="896"/>
      <x:c r="N162" s="896"/>
      <x:c r="O162" s="896"/>
      <x:c r="P162" s="896"/>
    </x:row>
    <x:row r="163" spans="2:16">
      <x:c r="B163" s="896"/>
      <x:c r="C163" s="896"/>
      <x:c r="D163" s="896"/>
      <x:c r="E163" s="896"/>
      <x:c r="F163" s="896"/>
      <x:c r="G163" s="896"/>
      <x:c r="H163" s="896"/>
      <x:c r="I163" s="896"/>
      <x:c r="J163" s="896"/>
      <x:c r="K163" s="896"/>
      <x:c r="L163" s="896"/>
      <x:c r="M163" s="896"/>
      <x:c r="N163" s="896"/>
      <x:c r="O163" s="896"/>
      <x:c r="P163" s="896"/>
    </x:row>
    <x:row r="164" spans="2:16">
      <x:c r="B164" s="896"/>
      <x:c r="C164" s="896"/>
      <x:c r="D164" s="896"/>
      <x:c r="E164" s="896"/>
      <x:c r="F164" s="896"/>
      <x:c r="G164" s="896"/>
      <x:c r="H164" s="896"/>
      <x:c r="I164" s="896"/>
      <x:c r="J164" s="896"/>
      <x:c r="K164" s="896"/>
      <x:c r="L164" s="896"/>
      <x:c r="M164" s="896"/>
      <x:c r="N164" s="896"/>
      <x:c r="O164" s="896"/>
      <x:c r="P164" s="896"/>
    </x:row>
    <x:row r="165" spans="2:16">
      <x:c r="B165" s="896"/>
      <x:c r="C165" s="896"/>
      <x:c r="D165" s="896"/>
      <x:c r="E165" s="896"/>
      <x:c r="F165" s="896"/>
      <x:c r="G165" s="896"/>
      <x:c r="H165" s="896"/>
      <x:c r="I165" s="896"/>
      <x:c r="J165" s="896"/>
      <x:c r="K165" s="896"/>
      <x:c r="L165" s="896"/>
      <x:c r="M165" s="896"/>
      <x:c r="N165" s="896"/>
      <x:c r="O165" s="896"/>
      <x:c r="P165" s="896"/>
    </x:row>
    <x:row r="166" spans="2:16">
      <x:c r="B166" s="896"/>
      <x:c r="C166" s="896"/>
      <x:c r="D166" s="896"/>
      <x:c r="E166" s="896"/>
      <x:c r="F166" s="896"/>
      <x:c r="G166" s="896"/>
      <x:c r="H166" s="896"/>
      <x:c r="I166" s="896"/>
      <x:c r="J166" s="896"/>
      <x:c r="K166" s="896"/>
      <x:c r="L166" s="896"/>
      <x:c r="M166" s="896"/>
      <x:c r="N166" s="896"/>
      <x:c r="O166" s="896"/>
      <x:c r="P166" s="896"/>
    </x:row>
    <x:row r="167" spans="2:16">
      <x:c r="B167" s="896"/>
      <x:c r="C167" s="896"/>
      <x:c r="D167" s="896"/>
      <x:c r="E167" s="896"/>
      <x:c r="F167" s="896"/>
      <x:c r="G167" s="896"/>
      <x:c r="H167" s="896"/>
      <x:c r="I167" s="896"/>
      <x:c r="J167" s="896"/>
      <x:c r="K167" s="896"/>
      <x:c r="L167" s="896"/>
      <x:c r="M167" s="896"/>
      <x:c r="N167" s="896"/>
      <x:c r="O167" s="896"/>
      <x:c r="P167" s="896"/>
    </x:row>
    <x:row r="168" spans="2:16">
      <x:c r="B168" s="896"/>
      <x:c r="C168" s="896"/>
      <x:c r="D168" s="896"/>
      <x:c r="E168" s="896"/>
      <x:c r="F168" s="896"/>
      <x:c r="G168" s="896"/>
      <x:c r="H168" s="896"/>
      <x:c r="I168" s="896"/>
      <x:c r="J168" s="896"/>
      <x:c r="K168" s="896"/>
      <x:c r="L168" s="896"/>
      <x:c r="M168" s="896"/>
      <x:c r="N168" s="896"/>
      <x:c r="O168" s="896"/>
      <x:c r="P168" s="896"/>
    </x:row>
    <x:row r="169" spans="2:16">
      <x:c r="B169" s="896"/>
      <x:c r="C169" s="896"/>
      <x:c r="D169" s="896"/>
      <x:c r="E169" s="896"/>
      <x:c r="F169" s="896"/>
      <x:c r="G169" s="896"/>
      <x:c r="H169" s="896"/>
      <x:c r="I169" s="896"/>
      <x:c r="J169" s="896"/>
      <x:c r="K169" s="896"/>
      <x:c r="L169" s="896"/>
      <x:c r="M169" s="896"/>
      <x:c r="N169" s="896"/>
      <x:c r="O169" s="896"/>
      <x:c r="P169" s="896"/>
    </x:row>
    <x:row r="170" spans="2:16">
      <x:c r="B170" s="896"/>
      <x:c r="C170" s="896"/>
      <x:c r="D170" s="896"/>
      <x:c r="E170" s="896"/>
      <x:c r="F170" s="896"/>
      <x:c r="G170" s="896"/>
      <x:c r="H170" s="896"/>
      <x:c r="I170" s="896"/>
      <x:c r="J170" s="896"/>
      <x:c r="K170" s="896"/>
      <x:c r="L170" s="896"/>
      <x:c r="M170" s="896"/>
      <x:c r="N170" s="896"/>
      <x:c r="O170" s="896"/>
      <x:c r="P170" s="896"/>
    </x:row>
    <x:row r="171" spans="2:16">
      <x:c r="B171" s="896"/>
      <x:c r="C171" s="896"/>
      <x:c r="D171" s="896"/>
      <x:c r="E171" s="896"/>
      <x:c r="F171" s="896"/>
      <x:c r="G171" s="896"/>
      <x:c r="H171" s="896"/>
      <x:c r="I171" s="896"/>
      <x:c r="J171" s="896"/>
      <x:c r="K171" s="896"/>
      <x:c r="L171" s="896"/>
      <x:c r="M171" s="896"/>
      <x:c r="N171" s="896"/>
      <x:c r="O171" s="896"/>
      <x:c r="P171" s="896"/>
    </x:row>
    <x:row r="172" spans="2:16">
      <x:c r="B172" s="896"/>
      <x:c r="C172" s="896"/>
      <x:c r="D172" s="896"/>
      <x:c r="E172" s="896"/>
      <x:c r="F172" s="896"/>
      <x:c r="G172" s="896"/>
      <x:c r="H172" s="896"/>
      <x:c r="I172" s="896"/>
      <x:c r="J172" s="896"/>
      <x:c r="K172" s="896"/>
      <x:c r="L172" s="896"/>
      <x:c r="M172" s="896"/>
      <x:c r="N172" s="896"/>
      <x:c r="O172" s="896"/>
      <x:c r="P172" s="896"/>
    </x:row>
    <x:row r="173" spans="2:16">
      <x:c r="B173" s="896"/>
      <x:c r="C173" s="896"/>
      <x:c r="D173" s="896"/>
      <x:c r="E173" s="896"/>
      <x:c r="F173" s="896"/>
      <x:c r="G173" s="896"/>
      <x:c r="H173" s="896"/>
      <x:c r="I173" s="896"/>
      <x:c r="J173" s="896"/>
      <x:c r="K173" s="896"/>
      <x:c r="L173" s="896"/>
      <x:c r="M173" s="896"/>
      <x:c r="N173" s="896"/>
      <x:c r="O173" s="896"/>
      <x:c r="P173" s="896"/>
    </x:row>
    <x:row r="174" spans="2:16">
      <x:c r="B174" s="896"/>
      <x:c r="C174" s="896"/>
      <x:c r="D174" s="896"/>
      <x:c r="E174" s="896"/>
      <x:c r="F174" s="896"/>
      <x:c r="G174" s="896"/>
      <x:c r="H174" s="896"/>
      <x:c r="I174" s="896"/>
      <x:c r="J174" s="896"/>
      <x:c r="K174" s="896"/>
      <x:c r="L174" s="896"/>
      <x:c r="M174" s="896"/>
      <x:c r="N174" s="896"/>
      <x:c r="O174" s="896"/>
      <x:c r="P174" s="896"/>
    </x:row>
  </x:sheetData>
  <x:mergeCells count="354">
    <x:mergeCell ref="P12:P16"/>
    <x:mergeCell ref="A1:P1"/>
    <x:mergeCell ref="A2:A4"/>
    <x:mergeCell ref="B2:C2"/>
    <x:mergeCell ref="E2:G2"/>
    <x:mergeCell ref="H2:H4"/>
    <x:mergeCell ref="I2:I4"/>
    <x:mergeCell ref="J2:N2"/>
    <x:mergeCell ref="O2:O4"/>
    <x:mergeCell ref="P2:P4"/>
    <x:mergeCell ref="B3:B4"/>
    <x:mergeCell ref="C3:C4"/>
    <x:mergeCell ref="D3:D4"/>
    <x:mergeCell ref="E3:E4"/>
    <x:mergeCell ref="F3:F4"/>
    <x:mergeCell ref="G3:G4"/>
    <x:mergeCell ref="J3:J4"/>
    <x:mergeCell ref="K3:K4"/>
    <x:mergeCell ref="L3:L4"/>
    <x:mergeCell ref="M3:M4"/>
    <x:mergeCell ref="N3:N4"/>
    <x:mergeCell ref="P5:P11"/>
    <x:mergeCell ref="A5:A11"/>
    <x:mergeCell ref="J5:J11"/>
    <x:mergeCell ref="K5:K11"/>
    <x:mergeCell ref="L5:L11"/>
    <x:mergeCell ref="M5:M11"/>
    <x:mergeCell ref="N5:N11"/>
    <x:mergeCell ref="O5:O11"/>
    <x:mergeCell ref="A12:A16"/>
    <x:mergeCell ref="J12:J16"/>
    <x:mergeCell ref="K12:K16"/>
    <x:mergeCell ref="L12:L16"/>
    <x:mergeCell ref="M12:M16"/>
    <x:mergeCell ref="N12:N16"/>
    <x:mergeCell ref="O12:O16"/>
    <x:mergeCell ref="A17:A22"/>
    <x:mergeCell ref="J17:J22"/>
    <x:mergeCell ref="K17:K22"/>
    <x:mergeCell ref="L17:L22"/>
    <x:mergeCell ref="M17:M22"/>
    <x:mergeCell ref="N17:N22"/>
    <x:mergeCell ref="O17:O22"/>
    <x:mergeCell ref="P17:P22"/>
    <x:mergeCell ref="A23:A27"/>
    <x:mergeCell ref="P23:P27"/>
    <x:mergeCell ref="O23:O27"/>
    <x:mergeCell ref="N23:N27"/>
    <x:mergeCell ref="M23:M27"/>
    <x:mergeCell ref="L23:L27"/>
    <x:mergeCell ref="K23:K27"/>
    <x:mergeCell ref="J23:J27"/>
    <x:mergeCell ref="A28:A30"/>
    <x:mergeCell ref="J28:J30"/>
    <x:mergeCell ref="K28:K30"/>
    <x:mergeCell ref="L28:L30"/>
    <x:mergeCell ref="M28:M30"/>
    <x:mergeCell ref="N28:N30"/>
    <x:mergeCell ref="O28:O30"/>
    <x:mergeCell ref="P28:P30"/>
    <x:mergeCell ref="A31:A34"/>
    <x:mergeCell ref="J31:J34"/>
    <x:mergeCell ref="K31:K34"/>
    <x:mergeCell ref="L31:L34"/>
    <x:mergeCell ref="M31:M34"/>
    <x:mergeCell ref="N31:N34"/>
    <x:mergeCell ref="O31:O34"/>
    <x:mergeCell ref="P31:P34"/>
    <x:mergeCell ref="A35:A38"/>
    <x:mergeCell ref="J35:J38"/>
    <x:mergeCell ref="K35:K38"/>
    <x:mergeCell ref="L35:L38"/>
    <x:mergeCell ref="M35:M38"/>
    <x:mergeCell ref="N35:N38"/>
    <x:mergeCell ref="O35:O38"/>
    <x:mergeCell ref="P35:P38"/>
    <x:mergeCell ref="A39:A41"/>
    <x:mergeCell ref="J39:J41"/>
    <x:mergeCell ref="K39:K41"/>
    <x:mergeCell ref="L39:L41"/>
    <x:mergeCell ref="M39:M41"/>
    <x:mergeCell ref="N39:N41"/>
    <x:mergeCell ref="O39:O41"/>
    <x:mergeCell ref="P39:P41"/>
    <x:mergeCell ref="A42:A44"/>
    <x:mergeCell ref="J42:J44"/>
    <x:mergeCell ref="K42:K44"/>
    <x:mergeCell ref="L42:L44"/>
    <x:mergeCell ref="M42:M44"/>
    <x:mergeCell ref="N42:N44"/>
    <x:mergeCell ref="O42:O44"/>
    <x:mergeCell ref="P42:P44"/>
    <x:mergeCell ref="A45:A46"/>
    <x:mergeCell ref="J45:J46"/>
    <x:mergeCell ref="K45:K46"/>
    <x:mergeCell ref="L45:L46"/>
    <x:mergeCell ref="M45:M46"/>
    <x:mergeCell ref="N45:N46"/>
    <x:mergeCell ref="O45:O46"/>
    <x:mergeCell ref="P45:P46"/>
    <x:mergeCell ref="A47:A52"/>
    <x:mergeCell ref="J47:J52"/>
    <x:mergeCell ref="K47:K52"/>
    <x:mergeCell ref="L47:L52"/>
    <x:mergeCell ref="M47:M52"/>
    <x:mergeCell ref="N47:N52"/>
    <x:mergeCell ref="O47:O52"/>
    <x:mergeCell ref="P47:P52"/>
    <x:mergeCell ref="A53:A55"/>
    <x:mergeCell ref="J53:J55"/>
    <x:mergeCell ref="K53:K55"/>
    <x:mergeCell ref="L53:L55"/>
    <x:mergeCell ref="M53:M55"/>
    <x:mergeCell ref="N53:N55"/>
    <x:mergeCell ref="O53:O55"/>
    <x:mergeCell ref="P53:P55"/>
    <x:mergeCell ref="A57:A59"/>
    <x:mergeCell ref="J57:J59"/>
    <x:mergeCell ref="K57:K59"/>
    <x:mergeCell ref="L57:L59"/>
    <x:mergeCell ref="M57:M59"/>
    <x:mergeCell ref="N57:N59"/>
    <x:mergeCell ref="O57:O59"/>
    <x:mergeCell ref="P57:P59"/>
    <x:mergeCell ref="A60:A62"/>
    <x:mergeCell ref="J60:J62"/>
    <x:mergeCell ref="K60:K62"/>
    <x:mergeCell ref="L60:L62"/>
    <x:mergeCell ref="M60:M62"/>
    <x:mergeCell ref="N60:N62"/>
    <x:mergeCell ref="O60:O62"/>
    <x:mergeCell ref="P60:P62"/>
    <x:mergeCell ref="A63:A65"/>
    <x:mergeCell ref="J63:J65"/>
    <x:mergeCell ref="K63:K65"/>
    <x:mergeCell ref="L63:L65"/>
    <x:mergeCell ref="M63:M65"/>
    <x:mergeCell ref="N63:N65"/>
    <x:mergeCell ref="O63:O65"/>
    <x:mergeCell ref="P63:P65"/>
    <x:mergeCell ref="A66:A68"/>
    <x:mergeCell ref="J66:J68"/>
    <x:mergeCell ref="K66:K68"/>
    <x:mergeCell ref="L66:L68"/>
    <x:mergeCell ref="M66:M68"/>
    <x:mergeCell ref="N66:N68"/>
    <x:mergeCell ref="O66:O68"/>
    <x:mergeCell ref="P66:P68"/>
    <x:mergeCell ref="A69:A71"/>
    <x:mergeCell ref="J69:J71"/>
    <x:mergeCell ref="K69:K71"/>
    <x:mergeCell ref="L69:L71"/>
    <x:mergeCell ref="M69:M71"/>
    <x:mergeCell ref="N69:N71"/>
    <x:mergeCell ref="O69:O71"/>
    <x:mergeCell ref="P69:P71"/>
    <x:mergeCell ref="A72:A74"/>
    <x:mergeCell ref="J72:J74"/>
    <x:mergeCell ref="K72:K74"/>
    <x:mergeCell ref="L72:L74"/>
    <x:mergeCell ref="M72:M74"/>
    <x:mergeCell ref="N72:N74"/>
    <x:mergeCell ref="O72:O74"/>
    <x:mergeCell ref="P72:P74"/>
    <x:mergeCell ref="A75:P75"/>
    <x:mergeCell ref="A76:A78"/>
    <x:mergeCell ref="B76:C76"/>
    <x:mergeCell ref="D76:D78"/>
    <x:mergeCell ref="E76:G76"/>
    <x:mergeCell ref="H76:H78"/>
    <x:mergeCell ref="I76:I78"/>
    <x:mergeCell ref="J76:M76"/>
    <x:mergeCell ref="N76:N78"/>
    <x:mergeCell ref="O76:P78"/>
    <x:mergeCell ref="B77:B78"/>
    <x:mergeCell ref="C77:C78"/>
    <x:mergeCell ref="E77:E78"/>
    <x:mergeCell ref="F77:F78"/>
    <x:mergeCell ref="G77:G78"/>
    <x:mergeCell ref="J77:J78"/>
    <x:mergeCell ref="K77:K78"/>
    <x:mergeCell ref="L77:L78"/>
    <x:mergeCell ref="M77:M78"/>
    <x:mergeCell ref="A79:A82"/>
    <x:mergeCell ref="J79:J82"/>
    <x:mergeCell ref="K79:K82"/>
    <x:mergeCell ref="L79:L82"/>
    <x:mergeCell ref="M79:M82"/>
    <x:mergeCell ref="N79:N82"/>
    <x:mergeCell ref="O79:P82"/>
    <x:mergeCell ref="A83:A86"/>
    <x:mergeCell ref="J83:J86"/>
    <x:mergeCell ref="K83:K86"/>
    <x:mergeCell ref="L83:L86"/>
    <x:mergeCell ref="M83:M86"/>
    <x:mergeCell ref="N83:N86"/>
    <x:mergeCell ref="O83:P86"/>
    <x:mergeCell ref="A87:A90"/>
    <x:mergeCell ref="J87:J90"/>
    <x:mergeCell ref="K87:K90"/>
    <x:mergeCell ref="L87:L90"/>
    <x:mergeCell ref="M87:M90"/>
    <x:mergeCell ref="N87:N90"/>
    <x:mergeCell ref="O87:P90"/>
    <x:mergeCell ref="A91:A94"/>
    <x:mergeCell ref="J91:J94"/>
    <x:mergeCell ref="K91:K94"/>
    <x:mergeCell ref="L91:L94"/>
    <x:mergeCell ref="M91:M94"/>
    <x:mergeCell ref="N91:N94"/>
    <x:mergeCell ref="O91:P94"/>
    <x:mergeCell ref="A95:A101"/>
    <x:mergeCell ref="J95:J101"/>
    <x:mergeCell ref="K95:K101"/>
    <x:mergeCell ref="L95:L101"/>
    <x:mergeCell ref="M95:M101"/>
    <x:mergeCell ref="N95:N101"/>
    <x:mergeCell ref="O95:P101"/>
    <x:mergeCell ref="A102:A108"/>
    <x:mergeCell ref="J102:J108"/>
    <x:mergeCell ref="K102:K108"/>
    <x:mergeCell ref="L102:L108"/>
    <x:mergeCell ref="M102:M108"/>
    <x:mergeCell ref="N102:N108"/>
    <x:mergeCell ref="O102:P108"/>
    <x:mergeCell ref="T110:T117"/>
    <x:mergeCell ref="U110:U117"/>
    <x:mergeCell ref="V110:V117"/>
    <x:mergeCell ref="W110:W117"/>
    <x:mergeCell ref="A113:A119"/>
    <x:mergeCell ref="J113:J119"/>
    <x:mergeCell ref="K113:K119"/>
    <x:mergeCell ref="L113:L119"/>
    <x:mergeCell ref="M113:M119"/>
    <x:mergeCell ref="N113:N119"/>
    <x:mergeCell ref="O113:P119"/>
    <x:mergeCell ref="A109:A112"/>
    <x:mergeCell ref="J109:J112"/>
    <x:mergeCell ref="K109:K112"/>
    <x:mergeCell ref="L109:L112"/>
    <x:mergeCell ref="M109:M112"/>
    <x:mergeCell ref="N109:N112"/>
    <x:mergeCell ref="R110:R117"/>
    <x:mergeCell ref="S110:S117"/>
    <x:mergeCell ref="O109:P112"/>
    <x:mergeCell ref="A121:P121"/>
    <x:mergeCell ref="A122:B122"/>
    <x:mergeCell ref="C122:N122"/>
    <x:mergeCell ref="A123:B126"/>
    <x:mergeCell ref="C123:N123"/>
    <x:mergeCell ref="C124:N124"/>
    <x:mergeCell ref="C125:N125"/>
    <x:mergeCell ref="C126:N126"/>
    <x:mergeCell ref="A127:B130"/>
    <x:mergeCell ref="C127:N127"/>
    <x:mergeCell ref="C128:N128"/>
    <x:mergeCell ref="C129:N129"/>
    <x:mergeCell ref="P129:P130"/>
    <x:mergeCell ref="C130:N130"/>
    <x:mergeCell ref="A131:B131"/>
    <x:mergeCell ref="C131:N131"/>
    <x:mergeCell ref="A132:B135"/>
    <x:mergeCell ref="C132:N132"/>
    <x:mergeCell ref="C133:N133"/>
    <x:mergeCell ref="C134:N134"/>
    <x:mergeCell ref="C135:N135"/>
    <x:mergeCell ref="A136:B139"/>
    <x:mergeCell ref="C136:N136"/>
    <x:mergeCell ref="C137:N137"/>
    <x:mergeCell ref="C138:N138"/>
    <x:mergeCell ref="C139:N139"/>
    <x:mergeCell ref="A140:B145"/>
    <x:mergeCell ref="C140:N140"/>
    <x:mergeCell ref="C141:N141"/>
    <x:mergeCell ref="C142:N142"/>
    <x:mergeCell ref="C143:N143"/>
    <x:mergeCell ref="C144:N144"/>
    <x:mergeCell ref="C145:N145"/>
    <x:mergeCell ref="A147:L147"/>
    <x:mergeCell ref="M147:N147"/>
    <x:mergeCell ref="O147:P147"/>
    <x:mergeCell ref="A148:P150"/>
    <x:mergeCell ref="B151:L151"/>
    <x:mergeCell ref="M151:N151"/>
    <x:mergeCell ref="O151:P151"/>
    <x:mergeCell ref="B152:L152"/>
    <x:mergeCell ref="M152:N152"/>
    <x:mergeCell ref="O152:P152"/>
    <x:mergeCell ref="B153:L153"/>
    <x:mergeCell ref="M153:N153"/>
    <x:mergeCell ref="O153:P153"/>
    <x:mergeCell ref="B154:L154"/>
    <x:mergeCell ref="M154:N154"/>
    <x:mergeCell ref="O154:P154"/>
    <x:mergeCell ref="B155:L155"/>
    <x:mergeCell ref="M155:N155"/>
    <x:mergeCell ref="O155:P155"/>
    <x:mergeCell ref="B156:L156"/>
    <x:mergeCell ref="M156:N156"/>
    <x:mergeCell ref="O156:P156"/>
    <x:mergeCell ref="B157:L157"/>
    <x:mergeCell ref="M157:N157"/>
    <x:mergeCell ref="O157:P157"/>
    <x:mergeCell ref="B158:L158"/>
    <x:mergeCell ref="M158:N158"/>
    <x:mergeCell ref="O158:P158"/>
    <x:mergeCell ref="B159:L159"/>
    <x:mergeCell ref="M159:N159"/>
    <x:mergeCell ref="O159:P159"/>
    <x:mergeCell ref="B160:L160"/>
    <x:mergeCell ref="M160:N160"/>
    <x:mergeCell ref="O160:P160"/>
    <x:mergeCell ref="B161:L161"/>
    <x:mergeCell ref="M161:N161"/>
    <x:mergeCell ref="O161:P161"/>
    <x:mergeCell ref="B162:L162"/>
    <x:mergeCell ref="M162:N162"/>
    <x:mergeCell ref="O162:P162"/>
    <x:mergeCell ref="B163:L163"/>
    <x:mergeCell ref="M163:N163"/>
    <x:mergeCell ref="O163:P163"/>
    <x:mergeCell ref="B164:L164"/>
    <x:mergeCell ref="M164:N164"/>
    <x:mergeCell ref="O164:P164"/>
    <x:mergeCell ref="B165:L165"/>
    <x:mergeCell ref="M165:N165"/>
    <x:mergeCell ref="O165:P165"/>
    <x:mergeCell ref="B166:L166"/>
    <x:mergeCell ref="M166:N166"/>
    <x:mergeCell ref="O166:P166"/>
    <x:mergeCell ref="B167:L167"/>
    <x:mergeCell ref="M167:N167"/>
    <x:mergeCell ref="O167:P167"/>
    <x:mergeCell ref="B168:L168"/>
    <x:mergeCell ref="M168:N168"/>
    <x:mergeCell ref="O168:P168"/>
    <x:mergeCell ref="B169:L169"/>
    <x:mergeCell ref="M169:N169"/>
    <x:mergeCell ref="O169:P169"/>
    <x:mergeCell ref="B170:L170"/>
    <x:mergeCell ref="M170:N170"/>
    <x:mergeCell ref="O170:P170"/>
    <x:mergeCell ref="B171:L171"/>
    <x:mergeCell ref="M171:N171"/>
    <x:mergeCell ref="O171:P171"/>
    <x:mergeCell ref="B172:L172"/>
    <x:mergeCell ref="M172:N172"/>
    <x:mergeCell ref="O172:P172"/>
    <x:mergeCell ref="B173:L173"/>
    <x:mergeCell ref="M173:N173"/>
    <x:mergeCell ref="O173:P173"/>
    <x:mergeCell ref="B174:L174"/>
    <x:mergeCell ref="M174:N174"/>
    <x:mergeCell ref="O174:P174"/>
  </x:mergeCells>
  <x:pageMargins left="0.48222222924232483" right="0.74805557727813721" top="0.60430556535720825" bottom="0.37902778387069702" header="0.51138889789581299" footer="0.51138889789581299"/>
  <x:pageSetup paperSize="9" scale="36" firstPageNumber="1" fitToWidth="1" fitToHeight="0" orientation="portrait" usePrinterDefaults="1" blackAndWhite="0" draft="0" useFirstPageNumber="0" horizontalDpi="600" verticalDpi="600" copies="1"/>
  <x:rowBreaks count="3" manualBreakCount="3">
    <x:brk id="94" min="0" max="1048575" man="1" pt="0"/>
    <x:brk id="113" min="0" max="1048575" man="1" pt="0"/>
    <x:brk id="154" min="0" max="1048575" man="1" pt="0"/>
  </x:rowBreaks>
  <x:colBreaks count="1" manualBreakCount="1">
    <x:brk id="16" min="0" max="16383" man="1" pt="0"/>
  </x:colBreaks>
</x:worksheet>
</file>

<file path=xl/worksheets/sheet4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4">
    <x:tabColor rgb="ffff843a"/>
  </x:sheetPr>
  <x:dimension ref="B1:K34"/>
  <x:sheetViews>
    <x:sheetView view="pageBreakPreview" topLeftCell="B18" zoomScaleNormal="100" zoomScaleSheetLayoutView="100" workbookViewId="0">
      <x:selection activeCell="N16" activeCellId="0" sqref="N16:N16"/>
    </x:sheetView>
  </x:sheetViews>
  <x:sheetFormatPr defaultColWidth="9" defaultRowHeight="17.399999999999999"/>
  <x:cols>
    <x:col min="1" max="1" width="5.09765625" style="261" customWidth="1"/>
    <x:col min="2" max="11" width="11.3984375" style="261" customWidth="1"/>
    <x:col min="12" max="12" width="5.69921875" style="261" customWidth="1"/>
    <x:col min="13" max="16384" width="9" style="261"/>
  </x:cols>
  <x:sheetData>
    <x:row r="1" spans="2:11" ht="22.199999999999999" customHeight="1">
      <x:c r="B1" s="898" t="s">
        <x:v>62</x:v>
      </x:c>
      <x:c r="C1" s="898"/>
      <x:c r="D1" s="898"/>
      <x:c r="E1" s="898"/>
      <x:c r="F1" s="898"/>
      <x:c r="G1" s="898"/>
      <x:c r="H1" s="898"/>
      <x:c r="I1" s="898"/>
      <x:c r="J1" s="898"/>
      <x:c r="K1" s="898"/>
    </x:row>
    <x:row r="2" spans="2:6">
      <x:c r="B2" s="899"/>
      <x:c r="C2" s="899"/>
      <x:c r="D2" s="899"/>
      <x:c r="E2" s="899"/>
      <x:c r="F2" s="899"/>
    </x:row>
    <x:row r="3" spans="2:11" ht="30" customHeight="1">
      <x:c r="B3" s="900"/>
      <x:c r="C3" s="900"/>
      <x:c r="D3" s="900"/>
      <x:c r="E3" s="900"/>
      <x:c r="F3" s="900"/>
      <x:c r="G3" s="900"/>
      <x:c r="H3" s="900"/>
      <x:c r="I3" s="900"/>
      <x:c r="J3" s="900"/>
      <x:c r="K3" s="900"/>
    </x:row>
    <x:row r="4" spans="2:11" ht="30" customHeight="1">
      <x:c r="B4" s="900"/>
      <x:c r="C4" s="900"/>
      <x:c r="D4" s="900"/>
      <x:c r="E4" s="900"/>
      <x:c r="F4" s="900"/>
      <x:c r="G4" s="900"/>
      <x:c r="H4" s="900"/>
      <x:c r="I4" s="900"/>
      <x:c r="J4" s="900"/>
      <x:c r="K4" s="900"/>
    </x:row>
    <x:row r="5" spans="2:11" ht="30" customHeight="1">
      <x:c r="B5" s="900"/>
      <x:c r="C5" s="900"/>
      <x:c r="D5" s="900"/>
      <x:c r="E5" s="900"/>
      <x:c r="F5" s="900"/>
      <x:c r="G5" s="900"/>
      <x:c r="H5" s="900"/>
      <x:c r="I5" s="900"/>
      <x:c r="J5" s="900"/>
      <x:c r="K5" s="900"/>
    </x:row>
    <x:row r="6" spans="2:11" ht="30" customHeight="1">
      <x:c r="B6" s="900"/>
      <x:c r="C6" s="900"/>
      <x:c r="D6" s="900"/>
      <x:c r="E6" s="900"/>
      <x:c r="F6" s="900"/>
      <x:c r="G6" s="900"/>
      <x:c r="H6" s="900"/>
      <x:c r="I6" s="900"/>
      <x:c r="J6" s="900"/>
      <x:c r="K6" s="900"/>
    </x:row>
    <x:row r="7" spans="2:11" ht="30" customHeight="1">
      <x:c r="B7" s="900"/>
      <x:c r="C7" s="900"/>
      <x:c r="D7" s="900"/>
      <x:c r="E7" s="900"/>
      <x:c r="F7" s="900"/>
      <x:c r="G7" s="900"/>
      <x:c r="H7" s="900"/>
      <x:c r="I7" s="900"/>
      <x:c r="J7" s="900"/>
      <x:c r="K7" s="900"/>
    </x:row>
    <x:row r="8" spans="2:11" ht="30" customHeight="1">
      <x:c r="B8" s="900"/>
      <x:c r="C8" s="900"/>
      <x:c r="D8" s="900"/>
      <x:c r="E8" s="900"/>
      <x:c r="F8" s="900"/>
      <x:c r="G8" s="900"/>
      <x:c r="H8" s="900"/>
      <x:c r="I8" s="900"/>
      <x:c r="J8" s="900"/>
      <x:c r="K8" s="900"/>
    </x:row>
    <x:row r="9" spans="2:11" ht="30" customHeight="1">
      <x:c r="B9" s="900"/>
      <x:c r="C9" s="900"/>
      <x:c r="D9" s="900"/>
      <x:c r="E9" s="900"/>
      <x:c r="F9" s="900"/>
      <x:c r="G9" s="900"/>
      <x:c r="H9" s="900"/>
      <x:c r="I9" s="900"/>
      <x:c r="J9" s="900"/>
      <x:c r="K9" s="900"/>
    </x:row>
    <x:row r="10" spans="2:11" ht="30" customHeight="1">
      <x:c r="B10" s="900"/>
      <x:c r="C10" s="900"/>
      <x:c r="D10" s="900"/>
      <x:c r="E10" s="900"/>
      <x:c r="F10" s="900"/>
      <x:c r="G10" s="900"/>
      <x:c r="H10" s="900"/>
      <x:c r="I10" s="900"/>
      <x:c r="J10" s="900"/>
      <x:c r="K10" s="900"/>
    </x:row>
    <x:row r="11" spans="2:11" ht="30" customHeight="1">
      <x:c r="B11" s="900"/>
      <x:c r="C11" s="900"/>
      <x:c r="D11" s="900"/>
      <x:c r="E11" s="900"/>
      <x:c r="F11" s="900"/>
      <x:c r="G11" s="900"/>
      <x:c r="H11" s="900"/>
      <x:c r="I11" s="900"/>
      <x:c r="J11" s="900"/>
      <x:c r="K11" s="900"/>
    </x:row>
    <x:row r="12" spans="2:11" ht="24.899999999999999" customHeight="1">
      <x:c r="B12" s="900" t="s">
        <x:v>277</x:v>
      </x:c>
      <x:c r="C12" s="900"/>
      <x:c r="D12" s="900"/>
      <x:c r="E12" s="900"/>
      <x:c r="F12" s="900"/>
      <x:c r="G12" s="900" t="s">
        <x:v>78</x:v>
      </x:c>
      <x:c r="H12" s="900"/>
      <x:c r="I12" s="900"/>
      <x:c r="J12" s="900"/>
      <x:c r="K12" s="900"/>
    </x:row>
    <x:row r="14" spans="2:11" ht="30" customHeight="1">
      <x:c r="B14" s="900"/>
      <x:c r="C14" s="900"/>
      <x:c r="D14" s="900"/>
      <x:c r="E14" s="900"/>
      <x:c r="F14" s="900"/>
      <x:c r="G14" s="900"/>
      <x:c r="H14" s="900"/>
      <x:c r="I14" s="900"/>
      <x:c r="J14" s="900"/>
      <x:c r="K14" s="900"/>
    </x:row>
    <x:row r="15" spans="2:11" ht="30" customHeight="1">
      <x:c r="B15" s="900"/>
      <x:c r="C15" s="900"/>
      <x:c r="D15" s="900"/>
      <x:c r="E15" s="900"/>
      <x:c r="F15" s="900"/>
      <x:c r="G15" s="900"/>
      <x:c r="H15" s="900"/>
      <x:c r="I15" s="900"/>
      <x:c r="J15" s="900"/>
      <x:c r="K15" s="900"/>
    </x:row>
    <x:row r="16" spans="2:11" ht="30" customHeight="1">
      <x:c r="B16" s="900"/>
      <x:c r="C16" s="900"/>
      <x:c r="D16" s="900"/>
      <x:c r="E16" s="900"/>
      <x:c r="F16" s="900"/>
      <x:c r="G16" s="900"/>
      <x:c r="H16" s="900"/>
      <x:c r="I16" s="900"/>
      <x:c r="J16" s="900"/>
      <x:c r="K16" s="900"/>
    </x:row>
    <x:row r="17" spans="2:11" ht="30" customHeight="1">
      <x:c r="B17" s="900"/>
      <x:c r="C17" s="900"/>
      <x:c r="D17" s="900"/>
      <x:c r="E17" s="900"/>
      <x:c r="F17" s="900"/>
      <x:c r="G17" s="900"/>
      <x:c r="H17" s="900"/>
      <x:c r="I17" s="900"/>
      <x:c r="J17" s="900"/>
      <x:c r="K17" s="900"/>
    </x:row>
    <x:row r="18" spans="2:11" ht="30" customHeight="1">
      <x:c r="B18" s="900"/>
      <x:c r="C18" s="900"/>
      <x:c r="D18" s="900"/>
      <x:c r="E18" s="900"/>
      <x:c r="F18" s="900"/>
      <x:c r="G18" s="900"/>
      <x:c r="H18" s="900"/>
      <x:c r="I18" s="900"/>
      <x:c r="J18" s="900"/>
      <x:c r="K18" s="900"/>
    </x:row>
    <x:row r="19" spans="2:11" ht="30" customHeight="1">
      <x:c r="B19" s="900"/>
      <x:c r="C19" s="900"/>
      <x:c r="D19" s="900"/>
      <x:c r="E19" s="900"/>
      <x:c r="F19" s="900"/>
      <x:c r="G19" s="900"/>
      <x:c r="H19" s="900"/>
      <x:c r="I19" s="900"/>
      <x:c r="J19" s="900"/>
      <x:c r="K19" s="900"/>
    </x:row>
    <x:row r="20" spans="2:11" ht="30" customHeight="1">
      <x:c r="B20" s="900"/>
      <x:c r="C20" s="900"/>
      <x:c r="D20" s="900"/>
      <x:c r="E20" s="900"/>
      <x:c r="F20" s="900"/>
      <x:c r="G20" s="900"/>
      <x:c r="H20" s="900"/>
      <x:c r="I20" s="900"/>
      <x:c r="J20" s="900"/>
      <x:c r="K20" s="900"/>
    </x:row>
    <x:row r="21" spans="2:11" ht="30" customHeight="1">
      <x:c r="B21" s="900"/>
      <x:c r="C21" s="900"/>
      <x:c r="D21" s="900"/>
      <x:c r="E21" s="900"/>
      <x:c r="F21" s="900"/>
      <x:c r="G21" s="900"/>
      <x:c r="H21" s="900"/>
      <x:c r="I21" s="900"/>
      <x:c r="J21" s="900"/>
      <x:c r="K21" s="900"/>
    </x:row>
    <x:row r="22" spans="2:11" ht="30" customHeight="1">
      <x:c r="B22" s="900"/>
      <x:c r="C22" s="900"/>
      <x:c r="D22" s="900"/>
      <x:c r="E22" s="900"/>
      <x:c r="F22" s="900"/>
      <x:c r="G22" s="900"/>
      <x:c r="H22" s="900"/>
      <x:c r="I22" s="900"/>
      <x:c r="J22" s="900"/>
      <x:c r="K22" s="900"/>
    </x:row>
    <x:row r="23" spans="2:11" ht="24.899999999999999" customHeight="1">
      <x:c r="B23" s="900" t="s">
        <x:v>271</x:v>
      </x:c>
      <x:c r="C23" s="900"/>
      <x:c r="D23" s="900"/>
      <x:c r="E23" s="900"/>
      <x:c r="F23" s="900"/>
      <x:c r="G23" s="900" t="s">
        <x:v>422</x:v>
      </x:c>
      <x:c r="H23" s="900"/>
      <x:c r="I23" s="900"/>
      <x:c r="J23" s="900"/>
      <x:c r="K23" s="900"/>
    </x:row>
    <x:row r="25" spans="2:11" ht="30" customHeight="1">
      <x:c r="B25" s="900"/>
      <x:c r="C25" s="900"/>
      <x:c r="D25" s="900"/>
      <x:c r="E25" s="900"/>
      <x:c r="F25" s="900"/>
      <x:c r="G25" s="900"/>
      <x:c r="H25" s="900"/>
      <x:c r="I25" s="900"/>
      <x:c r="J25" s="900"/>
      <x:c r="K25" s="900"/>
    </x:row>
    <x:row r="26" spans="2:11" ht="30" customHeight="1">
      <x:c r="B26" s="900"/>
      <x:c r="C26" s="900"/>
      <x:c r="D26" s="900"/>
      <x:c r="E26" s="900"/>
      <x:c r="F26" s="900"/>
      <x:c r="G26" s="900"/>
      <x:c r="H26" s="900"/>
      <x:c r="I26" s="900"/>
      <x:c r="J26" s="900"/>
      <x:c r="K26" s="900"/>
    </x:row>
    <x:row r="27" spans="2:11" ht="30" customHeight="1">
      <x:c r="B27" s="900"/>
      <x:c r="C27" s="900"/>
      <x:c r="D27" s="900"/>
      <x:c r="E27" s="900"/>
      <x:c r="F27" s="900"/>
      <x:c r="G27" s="900"/>
      <x:c r="H27" s="900"/>
      <x:c r="I27" s="900"/>
      <x:c r="J27" s="900"/>
      <x:c r="K27" s="900"/>
    </x:row>
    <x:row r="28" spans="2:11" ht="30" customHeight="1">
      <x:c r="B28" s="900"/>
      <x:c r="C28" s="900"/>
      <x:c r="D28" s="900"/>
      <x:c r="E28" s="900"/>
      <x:c r="F28" s="900"/>
      <x:c r="G28" s="900"/>
      <x:c r="H28" s="900"/>
      <x:c r="I28" s="900"/>
      <x:c r="J28" s="900"/>
      <x:c r="K28" s="900"/>
    </x:row>
    <x:row r="29" spans="2:11" ht="30" customHeight="1">
      <x:c r="B29" s="900"/>
      <x:c r="C29" s="900"/>
      <x:c r="D29" s="900"/>
      <x:c r="E29" s="900"/>
      <x:c r="F29" s="900"/>
      <x:c r="G29" s="900"/>
      <x:c r="H29" s="900"/>
      <x:c r="I29" s="900"/>
      <x:c r="J29" s="900"/>
      <x:c r="K29" s="900"/>
    </x:row>
    <x:row r="30" spans="2:11" ht="30" customHeight="1">
      <x:c r="B30" s="900"/>
      <x:c r="C30" s="900"/>
      <x:c r="D30" s="900"/>
      <x:c r="E30" s="900"/>
      <x:c r="F30" s="900"/>
      <x:c r="G30" s="900"/>
      <x:c r="H30" s="900"/>
      <x:c r="I30" s="900"/>
      <x:c r="J30" s="900"/>
      <x:c r="K30" s="900"/>
    </x:row>
    <x:row r="31" spans="2:11" ht="30" customHeight="1">
      <x:c r="B31" s="900"/>
      <x:c r="C31" s="900"/>
      <x:c r="D31" s="900"/>
      <x:c r="E31" s="900"/>
      <x:c r="F31" s="900"/>
      <x:c r="G31" s="900"/>
      <x:c r="H31" s="900"/>
      <x:c r="I31" s="900"/>
      <x:c r="J31" s="900"/>
      <x:c r="K31" s="900"/>
    </x:row>
    <x:row r="32" spans="2:11" ht="30" customHeight="1">
      <x:c r="B32" s="900"/>
      <x:c r="C32" s="900"/>
      <x:c r="D32" s="900"/>
      <x:c r="E32" s="900"/>
      <x:c r="F32" s="900"/>
      <x:c r="G32" s="900"/>
      <x:c r="H32" s="900"/>
      <x:c r="I32" s="900"/>
      <x:c r="J32" s="900"/>
      <x:c r="K32" s="900"/>
    </x:row>
    <x:row r="33" spans="2:11" ht="30" customHeight="1">
      <x:c r="B33" s="900"/>
      <x:c r="C33" s="900"/>
      <x:c r="D33" s="900"/>
      <x:c r="E33" s="900"/>
      <x:c r="F33" s="900"/>
      <x:c r="G33" s="900"/>
      <x:c r="H33" s="900"/>
      <x:c r="I33" s="900"/>
      <x:c r="J33" s="900"/>
      <x:c r="K33" s="900"/>
    </x:row>
    <x:row r="34" spans="2:11" ht="24.899999999999999" customHeight="1">
      <x:c r="B34" s="900" t="s">
        <x:v>436</x:v>
      </x:c>
      <x:c r="C34" s="900"/>
      <x:c r="D34" s="900"/>
      <x:c r="E34" s="900"/>
      <x:c r="F34" s="900"/>
      <x:c r="G34" s="900" t="s">
        <x:v>448</x:v>
      </x:c>
      <x:c r="H34" s="900"/>
      <x:c r="I34" s="900"/>
      <x:c r="J34" s="900"/>
      <x:c r="K34" s="900"/>
    </x:row>
  </x:sheetData>
  <x:mergeCells count="14">
    <x:mergeCell ref="B1:K1"/>
    <x:mergeCell ref="B2:F2"/>
    <x:mergeCell ref="B3:F11"/>
    <x:mergeCell ref="G3:K11"/>
    <x:mergeCell ref="B12:F12"/>
    <x:mergeCell ref="G12:K12"/>
    <x:mergeCell ref="B34:F34"/>
    <x:mergeCell ref="G34:K34"/>
    <x:mergeCell ref="B14:F22"/>
    <x:mergeCell ref="G14:K22"/>
    <x:mergeCell ref="B23:F23"/>
    <x:mergeCell ref="G23:K23"/>
    <x:mergeCell ref="B25:F33"/>
    <x:mergeCell ref="G25:K33"/>
  </x:mergeCells>
  <x:pageMargins left="0.26958334445953369" right="0.37416666746139526" top="1.1706944704055786" bottom="0.98430556058883667" header="0.51138889789581299" footer="0.51138889789581299"/>
  <x:pageSetup paperSize="9" scale="71" firstPageNumber="1" fitToWidth="0" fitToHeight="0" orientation="portrait" usePrinterDefaults="1" blackAndWhite="0" draft="0" useFirstPageNumber="0" horizontalDpi="600" verticalDpi="600" copies="1"/>
  <x:rowBreaks count="2" manualBreakCount="2">
    <x:brk id="34" min="0" max="1048575" man="1" pt="0"/>
    <x:brk id="35" min="0" max="1048575" man="1" pt="0"/>
  </x:rowBreaks>
  <x:colBreaks count="1" manualBreakCount="1">
    <x:brk id="12" min="0" max="16383" man="1" pt="0"/>
  </x:colBreaks>
</x:worksheet>
</file>

<file path=xl/worksheets/sheet5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1">
    <x:tabColor rgb="ffff6600"/>
  </x:sheetPr>
  <x:dimension ref="B1:N51"/>
  <x:sheetViews>
    <x:sheetView showGridLines="0" tabSelected="1" view="pageBreakPreview" topLeftCell="A33" zoomScaleNormal="100" zoomScaleSheetLayoutView="100" workbookViewId="0">
      <x:selection activeCell="Q49" activeCellId="0" sqref="Q49:Q49"/>
    </x:sheetView>
  </x:sheetViews>
  <x:sheetFormatPr defaultColWidth="9" defaultRowHeight="16.399999999999999"/>
  <x:cols>
    <x:col min="1" max="1" width="4" style="1" customWidth="1"/>
    <x:col min="2" max="2" width="6" style="1" customWidth="1"/>
    <x:col min="3" max="3" width="15" style="48" customWidth="1"/>
    <x:col min="4" max="4" width="16" style="48" customWidth="1"/>
    <x:col min="5" max="6" width="11.875" style="48" customWidth="1"/>
    <x:col min="7" max="7" width="12" style="48" customWidth="1"/>
    <x:col min="8" max="8" width="12.69921875" style="48" customWidth="1"/>
    <x:col min="9" max="9" width="12.19921875" style="48" customWidth="1"/>
    <x:col min="10" max="10" width="12.8984375" style="48" customWidth="1"/>
    <x:col min="11" max="11" width="11.5" style="48" customWidth="1"/>
    <x:col min="12" max="12" width="15.3984375" style="48" customWidth="1"/>
    <x:col min="15" max="15" width="9" style="1" bestFit="1" customWidth="1"/>
  </x:cols>
  <x:sheetData>
    <x:row r="1" spans="2:12">
      <x:c r="B1" s="32"/>
      <x:c r="C1" s="140"/>
      <x:c r="D1" s="140"/>
      <x:c r="E1" s="140"/>
      <x:c r="F1" s="140"/>
      <x:c r="G1" s="140"/>
      <x:c r="H1" s="140"/>
      <x:c r="I1" s="140"/>
      <x:c r="J1" s="140"/>
      <x:c r="K1" s="140"/>
      <x:c r="L1" s="140"/>
    </x:row>
    <x:row r="2" spans="2:12" ht="18" customHeight="1">
      <x:c r="B2" s="535" t="s">
        <x:v>467</x:v>
      </x:c>
      <x:c r="C2" s="535"/>
      <x:c r="D2" s="535"/>
      <x:c r="E2" s="535"/>
      <x:c r="F2" s="535"/>
      <x:c r="G2" s="535"/>
      <x:c r="H2" s="535"/>
      <x:c r="I2" s="535"/>
      <x:c r="J2" s="535"/>
      <x:c r="K2" s="535"/>
      <x:c r="L2" s="535"/>
    </x:row>
    <x:row r="3" spans="2:12" ht="27.899999999999999" customHeight="1">
      <x:c r="B3" s="536" t="s">
        <x:v>447</x:v>
      </x:c>
      <x:c r="C3" s="536"/>
      <x:c r="D3" s="536"/>
      <x:c r="E3" s="536"/>
      <x:c r="F3" s="536"/>
      <x:c r="G3" s="536"/>
      <x:c r="H3" s="536"/>
      <x:c r="I3" s="536"/>
      <x:c r="J3" s="536"/>
      <x:c r="K3" s="536"/>
      <x:c r="L3" s="536"/>
    </x:row>
    <x:row r="4" spans="2:12" ht="22.5" customHeight="1">
      <x:c r="B4" s="537" t="s">
        <x:v>74</x:v>
      </x:c>
      <x:c r="C4" s="1106" t="s">
        <x:v>122</x:v>
      </x:c>
      <x:c r="D4" s="1107" t="str">
        <x:f>'입력1(학교시설명 등 기본사항 입력) 보고서1,2'!C2</x:f>
        <x:v>평촌경영고등학교</x:v>
      </x:c>
      <x:c r="E4" s="1108"/>
      <x:c r="F4" s="1109"/>
      <x:c r="G4" s="1110" t="s">
        <x:v>51</x:v>
      </x:c>
      <x:c r="H4" s="1111" t="s">
        <x:v>125</x:v>
      </x:c>
      <x:c r="I4" s="540" t="s">
        <x:v>63</x:v>
      </x:c>
      <x:c r="J4" s="540"/>
      <x:c r="K4" s="540"/>
      <x:c r="L4" s="540"/>
    </x:row>
    <x:row r="5" spans="2:12" ht="22.5" customHeight="1">
      <x:c r="B5" s="537"/>
      <x:c r="C5" s="1106" t="s">
        <x:v>95</x:v>
      </x:c>
      <x:c r="D5" s="1107" t="str">
        <x:f>'입력1(학교시설명 등 기본사항 입력) 보고서1,2'!C3</x:f>
        <x:v>경기도 안양시 동안구 학의로 186</x:v>
      </x:c>
      <x:c r="E5" s="1108"/>
      <x:c r="F5" s="1109"/>
      <x:c r="G5" s="1110"/>
      <x:c r="H5" s="1111" t="s">
        <x:v>230</x:v>
      </x:c>
      <x:c r="I5" s="540" t="s">
        <x:v>120</x:v>
      </x:c>
      <x:c r="J5" s="540"/>
      <x:c r="K5" s="540"/>
      <x:c r="L5" s="540"/>
    </x:row>
    <x:row r="6" spans="2:12" ht="22.5" customHeight="1">
      <x:c r="B6" s="537"/>
      <x:c r="C6" s="1106" t="s">
        <x:v>478</x:v>
      </x:c>
      <x:c r="D6" s="1112" t="str">
        <x:f>'입력1(학교시설명 등 기본사항 입력) 보고서1,2'!H2</x:f>
        <x:v>손옥기</x:v>
      </x:c>
      <x:c r="E6" s="1113"/>
      <x:c r="F6" s="1113"/>
      <x:c r="G6" s="1110"/>
      <x:c r="H6" s="1106" t="s">
        <x:v>248</x:v>
      </x:c>
      <x:c r="I6" s="541" t="s">
        <x:v>204</x:v>
      </x:c>
      <x:c r="J6" s="541"/>
      <x:c r="K6" s="541"/>
      <x:c r="L6" s="541"/>
    </x:row>
    <x:row r="7" spans="2:12" ht="22.5" customHeight="1">
      <x:c r="B7" s="537"/>
      <x:c r="C7" s="1114" t="s">
        <x:v>166</x:v>
      </x:c>
      <x:c r="D7" s="1115" t="s">
        <x:v>291</x:v>
      </x:c>
      <x:c r="E7" s="1115"/>
      <x:c r="F7" s="1115"/>
      <x:c r="G7" s="1110"/>
      <x:c r="H7" s="1111" t="s">
        <x:v>127</x:v>
      </x:c>
      <x:c r="I7" s="540" t="s">
        <x:v>52</x:v>
      </x:c>
      <x:c r="J7" s="540"/>
      <x:c r="K7" s="540"/>
      <x:c r="L7" s="540"/>
    </x:row>
    <x:row r="8" spans="2:12" ht="40.649999999999999" customHeight="1">
      <x:c r="B8" s="542" t="s">
        <x:v>132</x:v>
      </x:c>
      <x:c r="C8" s="537" t="s">
        <x:v>33</x:v>
      </x:c>
      <x:c r="D8" s="537" t="s">
        <x:v>316</x:v>
      </x:c>
      <x:c r="E8" s="537" t="s">
        <x:v>377</x:v>
      </x:c>
      <x:c r="F8" s="537" t="s">
        <x:v>159</x:v>
      </x:c>
      <x:c r="G8" s="537" t="s">
        <x:v>330</x:v>
      </x:c>
      <x:c r="H8" s="537" t="s">
        <x:v>376</x:v>
      </x:c>
      <x:c r="I8" s="545" t="s">
        <x:v>224</x:v>
      </x:c>
      <x:c r="J8" s="545"/>
      <x:c r="K8" s="545"/>
      <x:c r="L8" s="545"/>
    </x:row>
    <x:row r="9" spans="2:12" ht="42" customHeight="1">
      <x:c r="B9" s="543"/>
      <x:c r="C9" s="537"/>
      <x:c r="D9" s="537"/>
      <x:c r="E9" s="537"/>
      <x:c r="F9" s="537"/>
      <x:c r="G9" s="537"/>
      <x:c r="H9" s="537"/>
      <x:c r="I9" s="33" t="s">
        <x:v>521</x:v>
      </x:c>
      <x:c r="J9" s="33" t="s">
        <x:v>354</x:v>
      </x:c>
      <x:c r="K9" s="33" t="s">
        <x:v>326</x:v>
      </x:c>
      <x:c r="L9" s="33" t="s">
        <x:v>354</x:v>
      </x:c>
    </x:row>
    <x:row r="10" spans="2:12" ht="20.100000000000001" customHeight="1">
      <x:c r="B10" s="543"/>
      <x:c r="C10" s="528" t="str">
        <x:f>보고서3!B95</x:f>
        <x:v>5층 2-11반</x:v>
      </x:c>
      <x:c r="D10" s="519">
        <x:f>보고서3!G95</x:f>
        <x:v>25.5</x:v>
      </x:c>
      <x:c r="E10" s="519">
        <x:f>보고서3!G102</x:f>
        <x:v>41.389999999999993</x:v>
      </x:c>
      <x:c r="F10" s="519">
        <x:f>보고서3!G113</x:f>
        <x:v>57.04407951598963</x:v>
      </x:c>
      <x:c r="G10" s="34" t="s">
        <x:v>204</x:v>
      </x:c>
      <x:c r="H10" s="519" t="s">
        <x:v>204</x:v>
      </x:c>
      <x:c r="I10" s="34" t="s">
        <x:v>204</x:v>
      </x:c>
      <x:c r="J10" s="34" t="s">
        <x:v>204</x:v>
      </x:c>
      <x:c r="K10" s="34" t="s">
        <x:v>204</x:v>
      </x:c>
      <x:c r="L10" s="35" t="s">
        <x:v>204</x:v>
      </x:c>
    </x:row>
    <x:row r="11" spans="2:12" ht="20.100000000000001" customHeight="1">
      <x:c r="B11" s="543"/>
      <x:c r="C11" s="528" t="str">
        <x:f>보고서3!B96</x:f>
        <x:v>4층 2-4반</x:v>
      </x:c>
      <x:c r="D11" s="519">
        <x:f>보고서3!G96</x:f>
        <x:v>25.099999999999998</x:v>
      </x:c>
      <x:c r="E11" s="519">
        <x:f>보고서3!G103</x:f>
        <x:v>45.666666666666664</x:v>
      </x:c>
      <x:c r="F11" s="519">
        <x:f>보고서3!G114</x:f>
        <x:v>57.996485061511407</x:v>
      </x:c>
      <x:c r="G11" s="36" t="s">
        <x:v>204</x:v>
      </x:c>
      <x:c r="H11" s="519" t="s">
        <x:v>204</x:v>
      </x:c>
      <x:c r="I11" s="36" t="s">
        <x:v>204</x:v>
      </x:c>
      <x:c r="J11" s="36" t="s">
        <x:v>204</x:v>
      </x:c>
      <x:c r="K11" s="36" t="s">
        <x:v>204</x:v>
      </x:c>
      <x:c r="L11" s="37" t="s">
        <x:v>204</x:v>
      </x:c>
    </x:row>
    <x:row r="12" spans="2:12" ht="20.100000000000001" customHeight="1">
      <x:c r="B12" s="543"/>
      <x:c r="C12" s="528" t="str">
        <x:f>보고서3!B97</x:f>
        <x:v>1층 (도제)회계실무실습실</x:v>
      </x:c>
      <x:c r="D12" s="519">
        <x:f>보고서3!G97</x:f>
        <x:v>25.733333333333334</x:v>
      </x:c>
      <x:c r="E12" s="519">
        <x:f>보고서3!G104</x:f>
        <x:v>51.70000000000001</x:v>
      </x:c>
      <x:c r="F12" s="519">
        <x:f>보고서3!G115</x:f>
        <x:v>70.739549839228303</x:v>
      </x:c>
      <x:c r="G12" s="34" t="s">
        <x:v>204</x:v>
      </x:c>
      <x:c r="H12" s="519" t="s">
        <x:v>204</x:v>
      </x:c>
      <x:c r="I12" s="34" t="s">
        <x:v>204</x:v>
      </x:c>
      <x:c r="J12" s="34" t="s">
        <x:v>204</x:v>
      </x:c>
      <x:c r="K12" s="34" t="s">
        <x:v>204</x:v>
      </x:c>
      <x:c r="L12" s="35" t="s">
        <x:v>204</x:v>
      </x:c>
    </x:row>
    <x:row r="13" spans="2:12" ht="20.100000000000001" customHeight="1">
      <x:c r="B13" s="543"/>
      <x:c r="C13" s="528" t="str">
        <x:f>보고서3!B98</x:f>
        <x:v>-</x:v>
      </x:c>
      <x:c r="D13" s="519" t="str">
        <x:f>보고서3!G98</x:f>
        <x:v>-</x:v>
      </x:c>
      <x:c r="E13" s="519" t="str">
        <x:f>보고서3!G105</x:f>
        <x:v>-</x:v>
      </x:c>
      <x:c r="F13" s="519" t="str">
        <x:f>보고서3!G116</x:f>
        <x:v>-</x:v>
      </x:c>
      <x:c r="G13" s="34" t="s">
        <x:v>204</x:v>
      </x:c>
      <x:c r="H13" s="519" t="s">
        <x:v>204</x:v>
      </x:c>
      <x:c r="I13" s="34" t="s">
        <x:v>204</x:v>
      </x:c>
      <x:c r="J13" s="34" t="s">
        <x:v>204</x:v>
      </x:c>
      <x:c r="K13" s="34" t="s">
        <x:v>204</x:v>
      </x:c>
      <x:c r="L13" s="35"/>
    </x:row>
    <x:row r="14" spans="2:12" ht="20.100000000000001" hidden="1" customHeight="1">
      <x:c r="B14" s="542"/>
      <x:c r="C14" s="529" t="str">
        <x:f>'입력2(측정)'!B68</x:f>
        <x:v>4층 1-7반</x:v>
      </x:c>
      <x:c r="D14" s="519" t="str">
        <x:f>보고서3!G99</x:f>
        <x:v>-</x:v>
      </x:c>
      <x:c r="E14" s="519" t="str">
        <x:f>보고서3!G106</x:f>
        <x:v>-</x:v>
      </x:c>
      <x:c r="F14" s="519" t="e">
        <x:f>'입력2(측정)'!#REF!</x:f>
        <x:v>#REF!</x:v>
      </x:c>
      <x:c r="G14" s="133" t="s">
        <x:v>204</x:v>
      </x:c>
      <x:c r="H14" s="519" t="s">
        <x:v>204</x:v>
      </x:c>
      <x:c r="I14" s="147">
        <x:f>'입력2(측정)'!T78</x:f>
        <x:v>504.55555555555554</x:v>
      </x:c>
      <x:c r="J14" s="146">
        <x:f>'입력2(측정)'!T94</x:f>
        <x:v>1.3302107728337236</x:v>
      </x:c>
      <x:c r="K14" s="147">
        <x:f>'입력2(측정)'!T86</x:f>
        <x:v>773.55555555555554</x:v>
      </x:c>
      <x:c r="L14" s="148">
        <x:f>'입력2(측정)'!T102</x:f>
        <x:v>1.3004354136429608</x:v>
      </x:c>
    </x:row>
    <x:row r="15" spans="2:12" ht="20.100000000000001" customHeight="1">
      <x:c r="B15" s="542"/>
      <x:c r="C15" s="529" t="str">
        <x:f>보고서3!B23</x:f>
        <x:v>5층 1-9반</x:v>
      </x:c>
      <x:c r="D15" s="519" t="s">
        <x:v>204</x:v>
      </x:c>
      <x:c r="E15" s="519" t="s">
        <x:v>204</x:v>
      </x:c>
      <x:c r="F15" s="519" t="s">
        <x:v>204</x:v>
      </x:c>
      <x:c r="G15" s="133" t="s">
        <x:v>204</x:v>
      </x:c>
      <x:c r="H15" s="519">
        <x:f>보고서3!G109</x:f>
        <x:v>47.600000000000001</x:v>
      </x:c>
      <x:c r="I15" s="520">
        <x:f>보고서3!G79</x:f>
        <x:v>405.22222222222223</x:v>
      </x:c>
      <x:c r="J15" s="519">
        <x:f>보고서3!G87</x:f>
        <x:v>1.4401197604790419</x:v>
      </x:c>
      <x:c r="K15" s="520">
        <x:f>보고서3!G83</x:f>
        <x:v>839.77777777777783</x:v>
      </x:c>
      <x:c r="L15" s="519">
        <x:f>보고서3!G91</x:f>
        <x:v>1.3019125683060109</x:v>
      </x:c>
    </x:row>
    <x:row r="16" spans="2:14" ht="20.100000000000001" customHeight="1">
      <x:c r="B16" s="542"/>
      <x:c r="C16" s="529" t="str">
        <x:f>보고서3!B24</x:f>
        <x:v>4층 1-7반</x:v>
      </x:c>
      <x:c r="D16" s="519" t="s">
        <x:v>204</x:v>
      </x:c>
      <x:c r="E16" s="519" t="s">
        <x:v>204</x:v>
      </x:c>
      <x:c r="F16" s="519" t="s">
        <x:v>204</x:v>
      </x:c>
      <x:c r="G16" s="34" t="s">
        <x:v>204</x:v>
      </x:c>
      <x:c r="H16" s="519">
        <x:f>보고서3!G110</x:f>
        <x:v>48.950000000000003</x:v>
      </x:c>
      <x:c r="I16" s="520">
        <x:f>보고서3!G80</x:f>
        <x:v>504.55555555555554</x:v>
      </x:c>
      <x:c r="J16" s="519">
        <x:f>보고서3!G88</x:f>
        <x:v>1.3302107728337236</x:v>
      </x:c>
      <x:c r="K16" s="520">
        <x:f>보고서3!G84</x:f>
        <x:v>773.55555555555554</x:v>
      </x:c>
      <x:c r="L16" s="519">
        <x:f>보고서3!G92</x:f>
        <x:v>1.3004354136429608</x:v>
      </x:c>
      <x:c r="N16" s="145"/>
    </x:row>
    <x:row r="17" spans="2:14" ht="20.100000000000001" customHeight="1">
      <x:c r="B17" s="543"/>
      <x:c r="C17" s="529" t="str">
        <x:f>보고서3!B25</x:f>
        <x:v>2층 (도제)세무실무실습실</x:v>
      </x:c>
      <x:c r="D17" s="519" t="s">
        <x:v>204</x:v>
      </x:c>
      <x:c r="E17" s="519" t="s">
        <x:v>204</x:v>
      </x:c>
      <x:c r="F17" s="134" t="s">
        <x:v>204</x:v>
      </x:c>
      <x:c r="G17" s="36" t="s">
        <x:v>204</x:v>
      </x:c>
      <x:c r="H17" s="519">
        <x:f>보고서3!G111</x:f>
        <x:v>50.5</x:v>
      </x:c>
      <x:c r="I17" s="520">
        <x:f>보고서3!G81</x:f>
        <x:v>745.33333333333337</x:v>
      </x:c>
      <x:c r="J17" s="519">
        <x:f>보고서3!G89</x:f>
        <x:v>1.4591503267973855</x:v>
      </x:c>
      <x:c r="K17" s="520">
        <x:f>보고서3!G85</x:f>
        <x:v>720.11111111111109</x:v>
      </x:c>
      <x:c r="L17" s="519">
        <x:f>보고서3!G93</x:f>
        <x:v>1.3582554517133956</x:v>
      </x:c>
      <x:c r="N17" s="145"/>
    </x:row>
    <x:row r="18" spans="2:14" ht="20.100000000000001" customHeight="1">
      <x:c r="B18" s="542"/>
      <x:c r="C18" s="529" t="str">
        <x:f>보고서3!B26</x:f>
        <x:v>-</x:v>
      </x:c>
      <x:c r="D18" s="519" t="s">
        <x:v>204</x:v>
      </x:c>
      <x:c r="E18" s="519" t="s">
        <x:v>204</x:v>
      </x:c>
      <x:c r="F18" s="134" t="s">
        <x:v>204</x:v>
      </x:c>
      <x:c r="G18" s="36" t="s">
        <x:v>204</x:v>
      </x:c>
      <x:c r="H18" s="519" t="str">
        <x:f>보고서3!G112</x:f>
        <x:v>-</x:v>
      </x:c>
      <x:c r="I18" s="520" t="str">
        <x:f>보고서3!G82</x:f>
        <x:v>-</x:v>
      </x:c>
      <x:c r="J18" s="519" t="str">
        <x:f>보고서3!G90</x:f>
        <x:v>-</x:v>
      </x:c>
      <x:c r="K18" s="520" t="str">
        <x:f>보고서3!G86</x:f>
        <x:v>-</x:v>
      </x:c>
      <x:c r="L18" s="519" t="str">
        <x:f>보고서3!G94</x:f>
        <x:v>-</x:v>
      </x:c>
      <x:c r="N18" s="145"/>
    </x:row>
    <x:row r="19" spans="2:14" ht="20.100000000000001" customHeight="1">
      <x:c r="B19" s="543"/>
      <x:c r="C19" s="530" t="str">
        <x:f>보고서3!B53</x:f>
        <x:v>교무실</x:v>
      </x:c>
      <x:c r="D19" s="134" t="s">
        <x:v>204</x:v>
      </x:c>
      <x:c r="E19" s="134" t="s">
        <x:v>204</x:v>
      </x:c>
      <x:c r="F19" s="134" t="s">
        <x:v>204</x:v>
      </x:c>
      <x:c r="G19" s="136">
        <x:f>보고서3!G53</x:f>
        <x:v>0.011666666666666667</x:v>
      </x:c>
      <x:c r="H19" s="36" t="s">
        <x:v>204</x:v>
      </x:c>
      <x:c r="I19" s="134" t="s">
        <x:v>204</x:v>
      </x:c>
      <x:c r="J19" s="135" t="s">
        <x:v>204</x:v>
      </x:c>
      <x:c r="K19" s="134" t="s">
        <x:v>204</x:v>
      </x:c>
      <x:c r="L19" s="135" t="s">
        <x:v>204</x:v>
      </x:c>
      <x:c r="N19" s="145"/>
    </x:row>
    <x:row r="20" spans="2:14" ht="20.100000000000001" customHeight="1">
      <x:c r="B20" s="543"/>
      <x:c r="C20" s="33" t="s">
        <x:v>75</x:v>
      </x:c>
      <x:c r="D20" s="546" t="s">
        <x:v>66</x:v>
      </x:c>
      <x:c r="E20" s="547"/>
      <x:c r="F20" s="547"/>
      <x:c r="G20" s="547"/>
      <x:c r="H20" s="547"/>
      <x:c r="I20" s="547"/>
      <x:c r="J20" s="547"/>
      <x:c r="K20" s="547"/>
      <x:c r="L20" s="548"/>
      <x:c r="N20" s="145"/>
    </x:row>
    <x:row r="21" spans="2:12" ht="20.100000000000001" customHeight="1">
      <x:c r="B21" s="544"/>
      <x:c r="C21" s="33" t="s">
        <x:v>18</x:v>
      </x:c>
      <x:c r="D21" s="549" t="str">
        <x:f>'입력1(학교시설명 등 기본사항 입력) 보고서1,2'!C13</x:f>
        <x:v>2026.06.10</x:v>
      </x:c>
      <x:c r="E21" s="547"/>
      <x:c r="F21" s="547"/>
      <x:c r="G21" s="550" t="s">
        <x:v>34</x:v>
      </x:c>
      <x:c r="H21" s="551"/>
      <x:c r="I21" s="552"/>
      <x:c r="J21" s="553" t="s">
        <x:v>399</x:v>
      </x:c>
      <x:c r="K21" s="554"/>
      <x:c r="L21" s="555"/>
    </x:row>
    <x:row r="22" spans="2:12" ht="42" customHeight="1">
      <x:c r="B22" s="537" t="s">
        <x:v>445</x:v>
      </x:c>
      <x:c r="C22" s="33" t="s">
        <x:v>33</x:v>
      </x:c>
      <x:c r="D22" s="33" t="s">
        <x:v>104</x:v>
      </x:c>
      <x:c r="E22" s="33" t="s">
        <x:v>359</x:v>
      </x:c>
      <x:c r="F22" s="33" t="s">
        <x:v>390</x:v>
      </x:c>
      <x:c r="G22" s="33" t="s">
        <x:v>400</x:v>
      </x:c>
      <x:c r="H22" s="33" t="s">
        <x:v>415</x:v>
      </x:c>
      <x:c r="I22" s="33" t="s">
        <x:v>490</x:v>
      </x:c>
      <x:c r="J22" s="33" t="s">
        <x:v>369</x:v>
      </x:c>
      <x:c r="K22" s="33" t="s">
        <x:v>322</x:v>
      </x:c>
      <x:c r="L22" s="33" t="s">
        <x:v>372</x:v>
      </x:c>
    </x:row>
    <x:row r="23" spans="2:12" ht="20.100000000000001" customHeight="1">
      <x:c r="B23" s="537"/>
      <x:c r="C23" s="531" t="str">
        <x:f>보고서3!B5</x:f>
        <x:v>5층 2-11반</x:v>
      </x:c>
      <x:c r="D23" s="36" t="str">
        <x:f>보고서3!C5</x:f>
        <x:v>14:02 ~ 14:12</x:v>
      </x:c>
      <x:c r="E23" s="499">
        <x:f>보고서3!G5</x:f>
        <x:v>11.800000000000001</x:v>
      </x:c>
      <x:c r="F23" s="499" t="s">
        <x:v>204</x:v>
      </x:c>
      <x:c r="G23" s="499">
        <x:f>보고서3!G12</x:f>
        <x:v>10.800000000000001</x:v>
      </x:c>
      <x:c r="H23" s="499">
        <x:f>보고서3!G17</x:f>
        <x:v>814.66666666666663</x:v>
      </x:c>
      <x:c r="I23" s="499">
        <x:f>보고서3!G39</x:f>
        <x:v>1.9166666666666667</x:v>
      </x:c>
      <x:c r="J23" s="136">
        <x:f>보고서3!G42</x:f>
        <x:v>0.020000000000000001</x:v>
      </x:c>
      <x:c r="K23" s="521">
        <x:f>보고서3!G31</x:f>
        <x:v>80.852562902751416</x:v>
      </x:c>
      <x:c r="L23" s="134" t="s">
        <x:v>204</x:v>
      </x:c>
    </x:row>
    <x:row r="24" spans="2:12" ht="20.100000000000001" customHeight="1">
      <x:c r="B24" s="537"/>
      <x:c r="C24" s="531" t="str">
        <x:f>보고서3!B6</x:f>
        <x:v>4층 2-4반</x:v>
      </x:c>
      <x:c r="D24" s="36" t="str">
        <x:f>보고서3!C6</x:f>
        <x:v>14:13 ~ 14:23</x:v>
      </x:c>
      <x:c r="E24" s="499">
        <x:f>보고서3!G6</x:f>
        <x:v>16.800000000000001</x:v>
      </x:c>
      <x:c r="F24" s="499" t="s">
        <x:v>204</x:v>
      </x:c>
      <x:c r="G24" s="499">
        <x:f>보고서3!G13</x:f>
        <x:v>15.800000000000001</x:v>
      </x:c>
      <x:c r="H24" s="499">
        <x:f>보고서3!G18</x:f>
        <x:v>808.33333333333337</x:v>
      </x:c>
      <x:c r="I24" s="499" t="s">
        <x:v>204</x:v>
      </x:c>
      <x:c r="J24" s="135" t="s">
        <x:v>204</x:v>
      </x:c>
      <x:c r="K24" s="521">
        <x:f>보고서3!G32</x:f>
        <x:v>242.16029462572683</x:v>
      </x:c>
      <x:c r="L24" s="134" t="s">
        <x:v>204</x:v>
      </x:c>
    </x:row>
    <x:row r="25" spans="2:12" ht="20.100000000000001" customHeight="1">
      <x:c r="B25" s="537"/>
      <x:c r="C25" s="531" t="str">
        <x:f>보고서3!B7</x:f>
        <x:v>1층 (도제)회계실무실습실</x:v>
      </x:c>
      <x:c r="D25" s="36" t="str">
        <x:f>보고서3!C7</x:f>
        <x:v>15:00 ~ 15:10</x:v>
      </x:c>
      <x:c r="E25" s="499">
        <x:f>보고서3!G7</x:f>
        <x:v>14.199999999999999</x:v>
      </x:c>
      <x:c r="F25" s="499" t="s">
        <x:v>204</x:v>
      </x:c>
      <x:c r="G25" s="499">
        <x:f>보고서3!G14</x:f>
        <x:v>13.199999999999999</x:v>
      </x:c>
      <x:c r="H25" s="499">
        <x:f>보고서3!G19</x:f>
        <x:v>740</x:v>
      </x:c>
      <x:c r="I25" s="499" t="s">
        <x:v>204</x:v>
      </x:c>
      <x:c r="J25" s="135" t="s">
        <x:v>204</x:v>
      </x:c>
      <x:c r="K25" s="521">
        <x:f>보고서3!G33</x:f>
        <x:v>30.304173117377232</x:v>
      </x:c>
      <x:c r="L25" s="134" t="s">
        <x:v>204</x:v>
      </x:c>
    </x:row>
    <x:row r="26" spans="2:12" ht="20.100000000000001" customHeight="1">
      <x:c r="B26" s="537"/>
      <x:c r="C26" s="531" t="str">
        <x:f>보고서3!B8</x:f>
        <x:v>-</x:v>
      </x:c>
      <x:c r="D26" s="36" t="str">
        <x:f>보고서3!C8</x:f>
        <x:v>-</x:v>
      </x:c>
      <x:c r="E26" s="499" t="str">
        <x:f>보고서3!G8</x:f>
        <x:v>-</x:v>
      </x:c>
      <x:c r="F26" s="499" t="s">
        <x:v>204</x:v>
      </x:c>
      <x:c r="G26" s="499" t="str">
        <x:f>보고서3!G15</x:f>
        <x:v>-</x:v>
      </x:c>
      <x:c r="H26" s="499" t="str">
        <x:f>보고서3!G20</x:f>
        <x:v>-</x:v>
      </x:c>
      <x:c r="I26" s="499" t="s">
        <x:v>204</x:v>
      </x:c>
      <x:c r="J26" s="36" t="s">
        <x:v>204</x:v>
      </x:c>
      <x:c r="K26" s="521" t="str">
        <x:f>보고서3!G34</x:f>
        <x:v>-</x:v>
      </x:c>
      <x:c r="L26" s="134" t="s">
        <x:v>204</x:v>
      </x:c>
    </x:row>
    <x:row r="27" spans="2:12" ht="16.350000000000001" customHeight="1">
      <x:c r="B27" s="537"/>
      <x:c r="C27" s="531" t="str">
        <x:f>보고서3!B10</x:f>
        <x:v>체육관</x:v>
      </x:c>
      <x:c r="D27" s="36" t="str">
        <x:f>보고서3!C10</x:f>
        <x:v>13:38 ~ 13:48</x:v>
      </x:c>
      <x:c r="E27" s="499" t="s">
        <x:v>204</x:v>
      </x:c>
      <x:c r="F27" s="499">
        <x:f>보고서3!G10</x:f>
        <x:v>24.899999999999999</x:v>
      </x:c>
      <x:c r="G27" s="499" t="s">
        <x:v>204</x:v>
      </x:c>
      <x:c r="H27" s="499" t="s">
        <x:v>204</x:v>
      </x:c>
      <x:c r="I27" s="499" t="s">
        <x:v>204</x:v>
      </x:c>
      <x:c r="J27" s="36" t="s">
        <x:v>204</x:v>
      </x:c>
      <x:c r="K27" s="36" t="s">
        <x:v>204</x:v>
      </x:c>
      <x:c r="L27" s="134" t="s">
        <x:v>204</x:v>
      </x:c>
    </x:row>
    <x:row r="28" spans="2:12" ht="20.100000000000001" customHeight="1">
      <x:c r="B28" s="537"/>
      <x:c r="C28" s="531" t="str">
        <x:f>보고서3!B11</x:f>
        <x:v>-</x:v>
      </x:c>
      <x:c r="D28" s="36" t="str">
        <x:f>보고서3!C11</x:f>
        <x:v>-</x:v>
      </x:c>
      <x:c r="E28" s="499" t="s">
        <x:v>204</x:v>
      </x:c>
      <x:c r="F28" s="499" t="str">
        <x:f>보고서3!G11</x:f>
        <x:v>-</x:v>
      </x:c>
      <x:c r="G28" s="499" t="s">
        <x:v>204</x:v>
      </x:c>
      <x:c r="H28" s="499" t="s">
        <x:v>204</x:v>
      </x:c>
      <x:c r="I28" s="499" t="s">
        <x:v>204</x:v>
      </x:c>
      <x:c r="J28" s="36" t="s">
        <x:v>204</x:v>
      </x:c>
      <x:c r="K28" s="36" t="s">
        <x:v>204</x:v>
      </x:c>
      <x:c r="L28" s="134" t="s">
        <x:v>204</x:v>
      </x:c>
    </x:row>
    <x:row r="29" spans="2:12" ht="16.350000000000001" customHeight="1">
      <x:c r="B29" s="537"/>
      <x:c r="C29" s="531" t="str">
        <x:f>보고서3!B23</x:f>
        <x:v>5층 1-9반</x:v>
      </x:c>
      <x:c r="D29" s="36" t="str">
        <x:f>보고서3!C23</x:f>
        <x:v>13:03 ~ 13:13</x:v>
      </x:c>
      <x:c r="E29" s="499" t="s">
        <x:v>204</x:v>
      </x:c>
      <x:c r="F29" s="499" t="s">
        <x:v>204</x:v>
      </x:c>
      <x:c r="G29" s="499" t="s">
        <x:v>204</x:v>
      </x:c>
      <x:c r="H29" s="499" t="s">
        <x:v>204</x:v>
      </x:c>
      <x:c r="I29" s="499" t="s">
        <x:v>204</x:v>
      </x:c>
      <x:c r="J29" s="36" t="s">
        <x:v>204</x:v>
      </x:c>
      <x:c r="K29" s="36" t="s">
        <x:v>204</x:v>
      </x:c>
      <x:c r="L29" s="134">
        <x:f>보고서3!G23</x:f>
        <x:v>30.666666666666668</x:v>
      </x:c>
    </x:row>
    <x:row r="30" spans="2:12" ht="20.100000000000001" customHeight="1">
      <x:c r="B30" s="537"/>
      <x:c r="C30" s="531" t="str">
        <x:f>보고서3!B24</x:f>
        <x:v>4층 1-7반</x:v>
      </x:c>
      <x:c r="D30" s="36" t="str">
        <x:f>보고서3!C24</x:f>
        <x:v>13:15 ~ 13:25</x:v>
      </x:c>
      <x:c r="E30" s="499" t="s">
        <x:v>204</x:v>
      </x:c>
      <x:c r="F30" s="499" t="s">
        <x:v>204</x:v>
      </x:c>
      <x:c r="G30" s="499" t="s">
        <x:v>204</x:v>
      </x:c>
      <x:c r="H30" s="499" t="s">
        <x:v>204</x:v>
      </x:c>
      <x:c r="I30" s="499" t="s">
        <x:v>204</x:v>
      </x:c>
      <x:c r="J30" s="36" t="s">
        <x:v>204</x:v>
      </x:c>
      <x:c r="K30" s="36" t="s">
        <x:v>204</x:v>
      </x:c>
      <x:c r="L30" s="134">
        <x:f>보고서3!G24</x:f>
        <x:v>43</x:v>
      </x:c>
    </x:row>
    <x:row r="31" spans="2:12" ht="20.100000000000001" customHeight="1">
      <x:c r="B31" s="537"/>
      <x:c r="C31" s="531" t="str">
        <x:f>보고서3!B25</x:f>
        <x:v>2층 (도제)세무실무실습실</x:v>
      </x:c>
      <x:c r="D31" s="36" t="str">
        <x:f>보고서3!C25</x:f>
        <x:v>13:26 ~ 13:36</x:v>
      </x:c>
      <x:c r="E31" s="499" t="s">
        <x:v>204</x:v>
      </x:c>
      <x:c r="F31" s="499" t="s">
        <x:v>204</x:v>
      </x:c>
      <x:c r="G31" s="499" t="s">
        <x:v>204</x:v>
      </x:c>
      <x:c r="H31" s="499" t="s">
        <x:v>204</x:v>
      </x:c>
      <x:c r="I31" s="499" t="s">
        <x:v>204</x:v>
      </x:c>
      <x:c r="J31" s="36" t="s">
        <x:v>204</x:v>
      </x:c>
      <x:c r="K31" s="36" t="s">
        <x:v>204</x:v>
      </x:c>
      <x:c r="L31" s="134">
        <x:f>보고서3!G25</x:f>
        <x:v>34</x:v>
      </x:c>
    </x:row>
    <x:row r="32" spans="2:12" ht="20.100000000000001" customHeight="1">
      <x:c r="B32" s="537"/>
      <x:c r="C32" s="531" t="str">
        <x:f>보고서3!B26</x:f>
        <x:v>-</x:v>
      </x:c>
      <x:c r="D32" s="36" t="str">
        <x:f>보고서3!C26</x:f>
        <x:v>-</x:v>
      </x:c>
      <x:c r="E32" s="499" t="s">
        <x:v>204</x:v>
      </x:c>
      <x:c r="F32" s="499" t="s">
        <x:v>204</x:v>
      </x:c>
      <x:c r="G32" s="499" t="s">
        <x:v>204</x:v>
      </x:c>
      <x:c r="H32" s="499" t="s">
        <x:v>204</x:v>
      </x:c>
      <x:c r="I32" s="499" t="s">
        <x:v>204</x:v>
      </x:c>
      <x:c r="J32" s="36" t="s">
        <x:v>204</x:v>
      </x:c>
      <x:c r="K32" s="36" t="s">
        <x:v>204</x:v>
      </x:c>
      <x:c r="L32" s="134" t="str">
        <x:f>보고서3!G26</x:f>
        <x:v>-</x:v>
      </x:c>
    </x:row>
    <x:row r="33" spans="2:12" ht="20.25" customHeight="1">
      <x:c r="B33" s="537"/>
      <x:c r="C33" s="531" t="str">
        <x:f>보고서3!B9</x:f>
        <x:v>급식시설</x:v>
      </x:c>
      <x:c r="D33" s="36" t="str">
        <x:f>보고서3!C9</x:f>
        <x:v>14:46 ~ 14:56</x:v>
      </x:c>
      <x:c r="E33" s="525">
        <x:f>보고서3!G9</x:f>
        <x:v>15.800000000000001</x:v>
      </x:c>
      <x:c r="F33" s="525" t="s">
        <x:v>204</x:v>
      </x:c>
      <x:c r="G33" s="525">
        <x:f>보고서3!G16</x:f>
        <x:v>14.800000000000001</x:v>
      </x:c>
      <x:c r="H33" s="525">
        <x:f>보고서3!G21</x:f>
        <x:v>565.66666666666663</x:v>
      </x:c>
      <x:c r="I33" s="499" t="s">
        <x:v>204</x:v>
      </x:c>
      <x:c r="J33" s="36" t="s">
        <x:v>204</x:v>
      </x:c>
      <x:c r="K33" s="36" t="s">
        <x:v>204</x:v>
      </x:c>
      <x:c r="L33" s="134">
        <x:f>보고서3!G27</x:f>
        <x:v>60.666666666666664</x:v>
      </x:c>
    </x:row>
    <x:row r="34" spans="2:12" ht="33.899999999999999" customHeight="1">
      <x:c r="B34" s="537"/>
      <x:c r="C34" s="33" t="s">
        <x:v>33</x:v>
      </x:c>
      <x:c r="D34" s="33" t="s">
        <x:v>104</x:v>
      </x:c>
      <x:c r="E34" s="33" t="s">
        <x:v>374</x:v>
      </x:c>
      <x:c r="F34" s="33" t="s">
        <x:v>392</x:v>
      </x:c>
      <x:c r="G34" s="556" t="s">
        <x:v>378</x:v>
      </x:c>
      <x:c r="H34" s="557"/>
      <x:c r="I34" s="556" t="s">
        <x:v>401</x:v>
      </x:c>
      <x:c r="J34" s="557"/>
      <x:c r="K34" s="556" t="s">
        <x:v>204</x:v>
      </x:c>
      <x:c r="L34" s="557"/>
    </x:row>
    <x:row r="35" spans="2:12" ht="20.100000000000001" customHeight="1">
      <x:c r="B35" s="537"/>
      <x:c r="C35" s="131" t="str">
        <x:f>보고서3!B35</x:f>
        <x:v>급식시설</x:v>
      </x:c>
      <x:c r="D35" s="131" t="str">
        <x:f>보고서3!C35</x:f>
        <x:v>14:46 ~ 14:56</x:v>
      </x:c>
      <x:c r="E35" s="521">
        <x:f>보고서3!G35</x:f>
        <x:v>0</x:v>
      </x:c>
      <x:c r="F35" s="36" t="s">
        <x:v>204</x:v>
      </x:c>
      <x:c r="G35" s="558" t="s">
        <x:v>204</x:v>
      </x:c>
      <x:c r="H35" s="559"/>
      <x:c r="I35" s="560">
        <x:f>'입력2(측정)'!E57</x:f>
        <x:v>0</x:v>
      </x:c>
      <x:c r="J35" s="548"/>
      <x:c r="K35" s="546" t="s">
        <x:v>204</x:v>
      </x:c>
      <x:c r="L35" s="548"/>
    </x:row>
    <x:row r="36" spans="2:12" ht="20.100000000000001" customHeight="1">
      <x:c r="B36" s="537"/>
      <x:c r="C36" s="533" t="str">
        <x:f>보고서3!B36</x:f>
        <x:v>보건실</x:v>
      </x:c>
      <x:c r="D36" s="36" t="str">
        <x:f>보고서3!C36</x:f>
        <x:v>13:49 ~ 13:59</x:v>
      </x:c>
      <x:c r="E36" s="521">
        <x:f>보고서3!G36</x:f>
        <x:v>0.66666666666666663</x:v>
      </x:c>
      <x:c r="F36" s="134" t="str">
        <x:f>보고서3!G56</x:f>
        <x:v>20이하</x:v>
      </x:c>
      <x:c r="G36" s="538" t="s">
        <x:v>204</x:v>
      </x:c>
      <x:c r="H36" s="539"/>
      <x:c r="I36" s="560">
        <x:f>'입력2(측정)'!E58</x:f>
        <x:v>0</x:v>
      </x:c>
      <x:c r="J36" s="548"/>
      <x:c r="K36" s="546" t="s">
        <x:v>204</x:v>
      </x:c>
      <x:c r="L36" s="548"/>
    </x:row>
    <x:row r="37" spans="2:12" ht="20.100000000000001" customHeight="1">
      <x:c r="B37" s="537"/>
      <x:c r="C37" s="534"/>
      <x:c r="D37" s="531" t="str">
        <x:f>보고서3!C45</x:f>
        <x:v>2026-03-30~
2026-06-29</x:v>
      </x:c>
      <x:c r="E37" s="36" t="s">
        <x:v>204</x:v>
      </x:c>
      <x:c r="F37" s="36" t="s">
        <x:v>204</x:v>
      </x:c>
      <x:c r="G37" s="561" t="str">
        <x:f>보고서3!G45</x:f>
        <x:v>-</x:v>
      </x:c>
      <x:c r="H37" s="562"/>
      <x:c r="I37" s="560" t="str">
        <x:f>보고서3!G47</x:f>
        <x:v>-</x:v>
      </x:c>
      <x:c r="J37" s="548"/>
      <x:c r="K37" s="546" t="s">
        <x:v>204</x:v>
      </x:c>
      <x:c r="L37" s="548"/>
    </x:row>
    <x:row r="38" spans="2:12" ht="20.100000000000001" customHeight="1">
      <x:c r="B38" s="537"/>
      <x:c r="C38" s="36" t="str">
        <x:f>보고서3!B48</x:f>
        <x:v>-</x:v>
      </x:c>
      <x:c r="D38" s="36" t="str">
        <x:f>보고서3!C48</x:f>
        <x:v>-</x:v>
      </x:c>
      <x:c r="E38" s="524" t="s">
        <x:v>204</x:v>
      </x:c>
      <x:c r="F38" s="524" t="s">
        <x:v>204</x:v>
      </x:c>
      <x:c r="G38" s="546" t="s">
        <x:v>204</x:v>
      </x:c>
      <x:c r="H38" s="548"/>
      <x:c r="I38" s="560" t="str">
        <x:f>보고서3!G48</x:f>
        <x:v>-</x:v>
      </x:c>
      <x:c r="J38" s="548"/>
      <x:c r="K38" s="546" t="s">
        <x:v>204</x:v>
      </x:c>
      <x:c r="L38" s="548"/>
    </x:row>
    <x:row r="39" spans="2:12" ht="20.100000000000001" customHeight="1">
      <x:c r="B39" s="537"/>
      <x:c r="C39" s="36" t="str">
        <x:f>보고서3!B49</x:f>
        <x:v>-</x:v>
      </x:c>
      <x:c r="D39" s="36" t="str">
        <x:f>보고서3!C49</x:f>
        <x:v>-</x:v>
      </x:c>
      <x:c r="E39" s="524" t="s">
        <x:v>204</x:v>
      </x:c>
      <x:c r="F39" s="524" t="s">
        <x:v>204</x:v>
      </x:c>
      <x:c r="G39" s="546" t="s">
        <x:v>204</x:v>
      </x:c>
      <x:c r="H39" s="548"/>
      <x:c r="I39" s="560" t="str">
        <x:f>보고서3!G49</x:f>
        <x:v>-</x:v>
      </x:c>
      <x:c r="J39" s="548"/>
      <x:c r="K39" s="546" t="s">
        <x:v>204</x:v>
      </x:c>
      <x:c r="L39" s="548"/>
    </x:row>
    <x:row r="40" spans="2:12">
      <x:c r="B40" s="537"/>
      <x:c r="C40" s="36" t="str">
        <x:f>보고서3!B50</x:f>
        <x:v>-</x:v>
      </x:c>
      <x:c r="D40" s="36" t="str">
        <x:f>보고서3!C50</x:f>
        <x:v>-</x:v>
      </x:c>
      <x:c r="E40" s="524" t="s">
        <x:v>204</x:v>
      </x:c>
      <x:c r="F40" s="524" t="s">
        <x:v>204</x:v>
      </x:c>
      <x:c r="G40" s="546" t="s">
        <x:v>204</x:v>
      </x:c>
      <x:c r="H40" s="548"/>
      <x:c r="I40" s="560" t="str">
        <x:f>보고서3!G50</x:f>
        <x:v>-</x:v>
      </x:c>
      <x:c r="J40" s="548"/>
      <x:c r="K40" s="546" t="s">
        <x:v>204</x:v>
      </x:c>
      <x:c r="L40" s="548"/>
    </x:row>
    <x:row r="41" spans="2:12" ht="33.899999999999999" customHeight="1">
      <x:c r="B41" s="537"/>
      <x:c r="C41" s="526" t="s">
        <x:v>33</x:v>
      </x:c>
      <x:c r="D41" s="526" t="s">
        <x:v>104</x:v>
      </x:c>
      <x:c r="E41" s="526" t="s">
        <x:v>372</x:v>
      </x:c>
      <x:c r="F41" s="526" t="s">
        <x:v>386</x:v>
      </x:c>
      <x:c r="G41" s="526" t="s">
        <x:v>455</x:v>
      </x:c>
      <x:c r="H41" s="526" t="s">
        <x:v>384</x:v>
      </x:c>
      <x:c r="I41" s="526" t="s">
        <x:v>405</x:v>
      </x:c>
      <x:c r="J41" s="526" t="s">
        <x:v>364</x:v>
      </x:c>
      <x:c r="K41" s="526" t="s">
        <x:v>380</x:v>
      </x:c>
      <x:c r="L41" s="527" t="s">
        <x:v>204</x:v>
      </x:c>
    </x:row>
    <x:row r="42" spans="2:12" ht="20.100000000000001" customHeight="1">
      <x:c r="B42" s="537"/>
      <x:c r="C42" s="132" t="str">
        <x:f>보고서3!B57</x:f>
        <x:v>1층 1-12반</x:v>
      </x:c>
      <x:c r="D42" s="132" t="str">
        <x:f>보고서3!C57</x:f>
        <x:v>13:12 ~ 14:12</x:v>
      </x:c>
      <x:c r="E42" s="499">
        <x:f>보고서3!G28</x:f>
        <x:v>15.546023405805954</x:v>
      </x:c>
      <x:c r="F42" s="499">
        <x:f>보고서3!G57</x:f>
        <x:v>129.18057171024248</x:v>
      </x:c>
      <x:c r="G42" s="499">
        <x:f>보고서3!G60</x:f>
        <x:v>24.476551781503069</x:v>
      </x:c>
      <x:c r="H42" s="499">
        <x:f>보고서3!G63</x:f>
        <x:v>11.686392619913804</x:v>
      </x:c>
      <x:c r="I42" s="499">
        <x:f>보고서3!G66</x:f>
        <x:v>4.2181880126632887</x:v>
      </x:c>
      <x:c r="J42" s="499">
        <x:f>보고서3!G69</x:f>
        <x:v>8.1464482390363067</x:v>
      </x:c>
      <x:c r="K42" s="522">
        <x:f>보고서3!G72</x:f>
        <x:v>1.2080028324026371</x:v>
      </x:c>
      <x:c r="L42" s="143" t="s">
        <x:v>204</x:v>
      </x:c>
    </x:row>
    <x:row r="43" spans="2:12" ht="20.100000000000001" customHeight="1">
      <x:c r="B43" s="537"/>
      <x:c r="C43" s="132" t="str">
        <x:f>보고서3!B58</x:f>
        <x:v>2층 2-12반</x:v>
      </x:c>
      <x:c r="D43" s="132" t="str">
        <x:f>보고서3!C58</x:f>
        <x:v>14:05 ~ 15:05</x:v>
      </x:c>
      <x:c r="E43" s="499">
        <x:f>보고서3!G29</x:f>
        <x:v>8.6318761056448263</x:v>
      </x:c>
      <x:c r="F43" s="499">
        <x:f>보고서3!G58</x:f>
        <x:v>120.34234208663315</x:v>
      </x:c>
      <x:c r="G43" s="499">
        <x:f>보고서3!G61</x:f>
        <x:v>23.064909047826983</x:v>
      </x:c>
      <x:c r="H43" s="499">
        <x:f>보고서3!G64</x:f>
        <x:v>7.7159295358813278</x:v>
      </x:c>
      <x:c r="I43" s="499">
        <x:f>보고서3!G67</x:f>
        <x:v>2.8367317174764084</x:v>
      </x:c>
      <x:c r="J43" s="499">
        <x:f>보고서3!G70</x:f>
        <x:v>6.450547730117564</x:v>
      </x:c>
      <x:c r="K43" s="522">
        <x:f>보고서3!G73</x:f>
        <x:v>0.75951169616219749</x:v>
      </x:c>
      <x:c r="L43" s="143" t="s">
        <x:v>204</x:v>
      </x:c>
    </x:row>
    <x:row r="44" spans="2:12" ht="20.100000000000001" customHeight="1">
      <x:c r="B44" s="537"/>
      <x:c r="C44" s="132" t="str">
        <x:f>보고서3!B59</x:f>
        <x:v>1층 스포티존</x:v>
      </x:c>
      <x:c r="D44" s="132" t="str">
        <x:f>보고서3!C59</x:f>
        <x:v>13:00 ~ 14:00</x:v>
      </x:c>
      <x:c r="E44" s="499">
        <x:f>보고서3!G30</x:f>
        <x:v>27.402315825116244</x:v>
      </x:c>
      <x:c r="F44" s="499">
        <x:f>보고서3!G59</x:f>
        <x:v>153.0629258852604</x:v>
      </x:c>
      <x:c r="G44" s="499">
        <x:f>보고서3!G62</x:f>
        <x:v>22.252710538309486</x:v>
      </x:c>
      <x:c r="H44" s="499">
        <x:f>보고서3!G65</x:f>
        <x:v>19.664831736871573</x:v>
      </x:c>
      <x:c r="I44" s="499">
        <x:f>보고서3!G68</x:f>
        <x:v>4.6201180895588791</x:v>
      </x:c>
      <x:c r="J44" s="499">
        <x:f>보고서3!G71</x:f>
        <x:v>10.245705780340584</x:v>
      </x:c>
      <x:c r="K44" s="522">
        <x:f>보고서3!G74</x:f>
        <x:v>0.97060461499132455</x:v>
      </x:c>
      <x:c r="L44" s="143" t="s">
        <x:v>204</x:v>
      </x:c>
    </x:row>
    <x:row r="45" spans="2:12" ht="20.100000000000001" customHeight="1">
      <x:c r="B45" s="537"/>
      <x:c r="C45" s="33" t="s">
        <x:v>129</x:v>
      </x:c>
      <x:c r="D45" s="540" t="s">
        <x:v>526</x:v>
      </x:c>
      <x:c r="E45" s="540"/>
      <x:c r="F45" s="540"/>
      <x:c r="G45" s="540"/>
      <x:c r="H45" s="579" t="s">
        <x:v>290</x:v>
      </x:c>
      <x:c r="I45" s="579" t="s">
        <x:v>290</x:v>
      </x:c>
      <x:c r="J45" s="553" t="s">
        <x:v>338</x:v>
      </x:c>
      <x:c r="K45" s="554"/>
      <x:c r="L45" s="555"/>
    </x:row>
    <x:row r="46" spans="2:12" ht="20.100000000000001" customHeight="1">
      <x:c r="B46" s="556" t="s">
        <x:v>163</x:v>
      </x:c>
      <x:c r="C46" s="557"/>
      <x:c r="D46" s="568" t="s">
        <x:v>479</x:v>
      </x:c>
      <x:c r="E46" s="568"/>
      <x:c r="F46" s="568"/>
      <x:c r="G46" s="568"/>
      <x:c r="H46" s="568"/>
      <x:c r="I46" s="568"/>
      <x:c r="J46" s="568"/>
      <x:c r="K46" s="568"/>
      <x:c r="L46" s="569"/>
    </x:row>
    <x:row r="47" spans="2:12" ht="21.899999999999999" customHeight="1">
      <x:c r="B47" s="570" t="s">
        <x:v>6</x:v>
      </x:c>
      <x:c r="C47" s="571"/>
      <x:c r="D47" s="571"/>
      <x:c r="E47" s="571"/>
      <x:c r="F47" s="571"/>
      <x:c r="G47" s="571"/>
      <x:c r="H47" s="571"/>
      <x:c r="I47" s="571"/>
      <x:c r="J47" s="571"/>
      <x:c r="K47" s="571"/>
      <x:c r="L47" s="572"/>
    </x:row>
    <x:row r="48" spans="2:12">
      <x:c r="B48" s="573"/>
      <x:c r="C48" s="574"/>
      <x:c r="D48" s="574"/>
      <x:c r="E48" s="574"/>
      <x:c r="F48" s="574"/>
      <x:c r="G48" s="574"/>
      <x:c r="H48" s="574"/>
      <x:c r="I48" s="574"/>
      <x:c r="J48" s="574"/>
      <x:c r="K48" s="574"/>
      <x:c r="L48" s="575"/>
    </x:row>
    <x:row r="49" spans="2:12" ht="20.100000000000001" customHeight="1">
      <x:c r="B49" s="576" t="s">
        <x:v>4</x:v>
      </x:c>
      <x:c r="C49" s="577"/>
      <x:c r="D49" s="577"/>
      <x:c r="E49" s="577"/>
      <x:c r="F49" s="577"/>
      <x:c r="G49" s="577"/>
      <x:c r="H49" s="577"/>
      <x:c r="I49" s="577"/>
      <x:c r="J49" s="577"/>
      <x:c r="K49" s="577"/>
      <x:c r="L49" s="578"/>
    </x:row>
    <x:row r="50" spans="2:12" ht="86.25" customHeight="1">
      <x:c r="B50" s="1116" t="s">
        <x:v>340</x:v>
      </x:c>
      <x:c r="C50" s="563"/>
      <x:c r="D50" s="563"/>
      <x:c r="E50" s="563"/>
      <x:c r="F50" s="563"/>
      <x:c r="G50" s="563"/>
      <x:c r="H50" s="563"/>
      <x:c r="I50" s="563"/>
      <x:c r="J50" s="563"/>
      <x:c r="K50" s="563"/>
      <x:c r="L50" s="564"/>
    </x:row>
    <x:row r="51" spans="2:12" ht="21.899999999999999" customHeight="1">
      <x:c r="B51" s="565"/>
      <x:c r="C51" s="566"/>
      <x:c r="D51" s="566"/>
      <x:c r="E51" s="566"/>
      <x:c r="F51" s="566"/>
      <x:c r="G51" s="566"/>
      <x:c r="H51" s="566"/>
      <x:c r="I51" s="566"/>
      <x:c r="J51" s="566"/>
      <x:c r="K51" s="566"/>
      <x:c r="L51" s="567"/>
    </x:row>
  </x:sheetData>
  <x:mergeCells count="57">
    <x:mergeCell ref="C36:C37"/>
    <x:mergeCell ref="B2:L2"/>
    <x:mergeCell ref="B3:L3"/>
    <x:mergeCell ref="B4:B7"/>
    <x:mergeCell ref="D4:F4"/>
    <x:mergeCell ref="G4:G7"/>
    <x:mergeCell ref="I4:L4"/>
    <x:mergeCell ref="D5:F5"/>
    <x:mergeCell ref="I5:L5"/>
    <x:mergeCell ref="D6:F6"/>
    <x:mergeCell ref="I6:L6"/>
    <x:mergeCell ref="D7:F7"/>
    <x:mergeCell ref="I7:L7"/>
    <x:mergeCell ref="B8:B21"/>
    <x:mergeCell ref="C8:C9"/>
    <x:mergeCell ref="D8:D9"/>
    <x:mergeCell ref="E8:E9"/>
    <x:mergeCell ref="F8:F9"/>
    <x:mergeCell ref="G8:G9"/>
    <x:mergeCell ref="H8:H9"/>
    <x:mergeCell ref="I8:L8"/>
    <x:mergeCell ref="D20:L20"/>
    <x:mergeCell ref="D21:F21"/>
    <x:mergeCell ref="G21:I21"/>
    <x:mergeCell ref="J21:L21"/>
    <x:mergeCell ref="B22:B45"/>
    <x:mergeCell ref="G34:H34"/>
    <x:mergeCell ref="I34:J34"/>
    <x:mergeCell ref="K34:L34"/>
    <x:mergeCell ref="G35:H35"/>
    <x:mergeCell ref="I35:J35"/>
    <x:mergeCell ref="K35:L35"/>
    <x:mergeCell ref="G36:H36"/>
    <x:mergeCell ref="I36:J36"/>
    <x:mergeCell ref="K36:L36"/>
    <x:mergeCell ref="G37:H37"/>
    <x:mergeCell ref="I37:J37"/>
    <x:mergeCell ref="K37:L37"/>
    <x:mergeCell ref="G38:H38"/>
    <x:mergeCell ref="I38:J38"/>
    <x:mergeCell ref="K38:L38"/>
    <x:mergeCell ref="I39:J39"/>
    <x:mergeCell ref="G39:H39"/>
    <x:mergeCell ref="K39:L39"/>
    <x:mergeCell ref="B50:L50"/>
    <x:mergeCell ref="B51:L51"/>
    <x:mergeCell ref="B46:C46"/>
    <x:mergeCell ref="D46:L46"/>
    <x:mergeCell ref="B47:L47"/>
    <x:mergeCell ref="B48:L48"/>
    <x:mergeCell ref="B49:L49"/>
    <x:mergeCell ref="G40:H40"/>
    <x:mergeCell ref="I40:J40"/>
    <x:mergeCell ref="K40:L40"/>
    <x:mergeCell ref="D45:G45"/>
    <x:mergeCell ref="H45:I45"/>
    <x:mergeCell ref="J45:L45"/>
  </x:mergeCells>
  <x:pageMargins left="0.20000000298023224" right="0.20000000298023224" top="0.30000001192092896" bottom="0.30000001192092896" header="0.5" footer="0.5"/>
  <x:pageSetup paperSize="9" scale="64" firstPageNumber="1" fitToWidth="1" fitToHeight="1" orientation="portrait" usePrinterDefaults="1" blackAndWhite="0" draft="0" useFirstPageNumber="0" horizontalDpi="600" verticalDpi="600" copies="1"/>
  <x:rowBreaks count="1" manualBreakCount="1">
    <x:brk id="52" min="0" max="1048575" man="1" pt="0"/>
  </x:rowBreaks>
  <x:colBreaks count="1" manualBreakCount="1">
    <x:brk id="12" min="0" max="16383" man="1" pt="0"/>
  </x:colBreaks>
  <x:drawing r:id="rId1"/>
  <x:legacyDrawing r:id="rId2"/>
</x:worksheet>
</file>

<file path=xl/worksheets/sheet6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7">
    <x:tabColor rgb="ff0070c0"/>
  </x:sheetPr>
  <x:dimension ref="A1:J43"/>
  <x:sheetViews>
    <x:sheetView view="pageBreakPreview" topLeftCell="A1" zoomScaleNormal="100" zoomScaleSheetLayoutView="100" workbookViewId="0">
      <x:selection activeCell="D7" activeCellId="0" sqref="D7:D7"/>
    </x:sheetView>
  </x:sheetViews>
  <x:sheetFormatPr defaultColWidth="9" defaultRowHeight="17.399999999999999"/>
  <x:cols>
    <x:col min="1" max="1" width="16.59765625" style="1" customWidth="1"/>
    <x:col min="2" max="2" width="17.8984375" style="1" customWidth="1"/>
    <x:col min="3" max="3" width="16.59765625" style="1" customWidth="1"/>
    <x:col min="4" max="4" width="9.59765625" style="1" customWidth="1"/>
    <x:col min="5" max="6" width="16.59765625" style="1" customWidth="1"/>
    <x:col min="9" max="9" width="17.09765625" style="1" customWidth="1"/>
  </x:cols>
  <x:sheetData>
    <x:row r="1" spans="1:6" ht="6" customHeight="1">
      <x:c r="A1" s="507"/>
      <x:c r="B1" s="508"/>
      <x:c r="C1" s="508"/>
      <x:c r="D1" s="508"/>
      <x:c r="E1" s="508"/>
      <x:c r="F1" s="509"/>
    </x:row>
    <x:row r="2" spans="1:6" ht="6" customHeight="1">
      <x:c r="A2" s="510"/>
      <x:c r="F2" s="276"/>
    </x:row>
    <x:row r="3" spans="1:6" ht="34.5" customHeight="1">
      <x:c r="A3" s="901" t="s">
        <x:v>463</x:v>
      </x:c>
      <x:c r="B3" s="902"/>
      <x:c r="C3" s="902"/>
      <x:c r="D3" s="903"/>
      <x:c r="E3" s="902"/>
      <x:c r="F3" s="904"/>
    </x:row>
    <x:row r="4" spans="1:9" ht="34.5" customHeight="1">
      <x:c r="A4" s="905" t="s">
        <x:v>56</x:v>
      </x:c>
      <x:c r="B4" s="906"/>
      <x:c r="C4" s="907" t="str">
        <x:f>'입력1(학교시설명 등 기본사항 입력) 보고서1,2'!C13</x:f>
        <x:v>2026.06.10</x:v>
      </x:c>
      <x:c r="D4" s="907"/>
      <x:c r="E4" s="907"/>
      <x:c r="F4" s="908"/>
      <x:c r="H4" s="2" t="s">
        <x:v>68</x:v>
      </x:c>
      <x:c r="I4" s="2" t="s">
        <x:v>165</x:v>
      </x:c>
    </x:row>
    <x:row r="5" spans="1:9" ht="34.5" customHeight="1">
      <x:c r="A5" s="905" t="s">
        <x:v>475</x:v>
      </x:c>
      <x:c r="B5" s="906"/>
      <x:c r="C5" s="906" t="str">
        <x:f>'입력1(학교시설명 등 기본사항 입력) 보고서1,2'!C2</x:f>
        <x:v>평촌경영고등학교</x:v>
      </x:c>
      <x:c r="D5" s="906"/>
      <x:c r="E5" s="906"/>
      <x:c r="F5" s="909"/>
      <x:c r="H5" s="2" t="s">
        <x:v>275</x:v>
      </x:c>
      <x:c r="I5" s="2" t="s">
        <x:v>460</x:v>
      </x:c>
    </x:row>
    <x:row r="6" spans="1:9" ht="34.5" customHeight="1">
      <x:c r="A6" s="905" t="s">
        <x:v>107</x:v>
      </x:c>
      <x:c r="B6" s="906"/>
      <x:c r="C6" s="906" t="s">
        <x:v>315</x:v>
      </x:c>
      <x:c r="D6" s="906"/>
      <x:c r="E6" s="906"/>
      <x:c r="F6" s="909"/>
      <x:c r="H6" s="2" t="s">
        <x:v>30</x:v>
      </x:c>
      <x:c r="I6" s="2" t="s">
        <x:v>11</x:v>
      </x:c>
    </x:row>
    <x:row r="7" spans="1:9" ht="34.5" customHeight="1">
      <x:c r="A7" s="923" t="s">
        <x:v>473</x:v>
      </x:c>
      <x:c r="B7" s="99" t="s">
        <x:v>107</x:v>
      </x:c>
      <x:c r="C7" s="100" t="s">
        <x:v>230</x:v>
      </x:c>
      <x:c r="D7" s="101" t="s">
        <x:v>64</x:v>
      </x:c>
      <x:c r="E7" s="102" t="s">
        <x:v>21</x:v>
      </x:c>
      <x:c r="F7" s="511" t="s">
        <x:v>329</x:v>
      </x:c>
      <x:c r="G7" s="1" t="s">
        <x:v>21</x:v>
      </x:c>
      <x:c r="H7" s="2" t="s">
        <x:v>27</x:v>
      </x:c>
      <x:c r="I7" s="2" t="s">
        <x:v>37</x:v>
      </x:c>
    </x:row>
    <x:row r="8" spans="1:9" ht="20.100000000000001" customHeight="1">
      <x:c r="A8" s="924"/>
      <x:c r="B8" s="103" t="s">
        <x:v>165</x:v>
      </x:c>
      <x:c r="C8" s="100" t="str">
        <x:f>$C$5</x:f>
        <x:v>평촌경영고등학교</x:v>
      </x:c>
      <x:c r="D8" s="103" t="s">
        <x:v>68</x:v>
      </x:c>
      <x:c r="E8" s="102">
        <x:v>1</x:v>
      </x:c>
      <x:c r="F8" s="511"/>
      <x:c r="G8" s="1" t="str">
        <x:f>CONCATENATE(D8,"-",E8,"-",F8)</x:f>
        <x:v>HCHO-1-</x:v>
      </x:c>
      <x:c r="H8" s="2" t="s">
        <x:v>255</x:v>
      </x:c>
      <x:c r="I8" s="2" t="s">
        <x:v>234</x:v>
      </x:c>
    </x:row>
    <x:row r="9" spans="1:9" ht="20.100000000000001" customHeight="1">
      <x:c r="A9" s="924"/>
      <x:c r="B9" s="103" t="s">
        <x:v>165</x:v>
      </x:c>
      <x:c r="C9" s="100" t="str">
        <x:f t="shared" ref="C9:C33" si="0">$C$5</x:f>
        <x:v>평촌경영고등학교</x:v>
      </x:c>
      <x:c r="D9" s="103" t="s">
        <x:v>68</x:v>
      </x:c>
      <x:c r="E9" s="102">
        <x:v>2</x:v>
      </x:c>
      <x:c r="F9" s="511"/>
      <x:c r="G9" s="1" t="str">
        <x:f t="shared" ref="G9:G33" si="1">CONCATENATE(D9,"-",E9,"-",F9)</x:f>
        <x:v>HCHO-2-</x:v>
      </x:c>
      <x:c r="H9" s="2" t="s">
        <x:v>278</x:v>
      </x:c>
      <x:c r="I9" s="2" t="s">
        <x:v>35</x:v>
      </x:c>
    </x:row>
    <x:row r="10" spans="1:9" ht="20.100000000000001" customHeight="1">
      <x:c r="A10" s="924"/>
      <x:c r="B10" s="103" t="s">
        <x:v>165</x:v>
      </x:c>
      <x:c r="C10" s="100" t="str">
        <x:f t="shared" si="0"/>
        <x:v>평촌경영고등학교</x:v>
      </x:c>
      <x:c r="D10" s="103" t="s">
        <x:v>68</x:v>
      </x:c>
      <x:c r="E10" s="102">
        <x:v>3</x:v>
      </x:c>
      <x:c r="F10" s="511"/>
      <x:c r="G10" s="1" t="str">
        <x:f t="shared" si="1"/>
        <x:v>HCHO-3-</x:v>
      </x:c>
      <x:c r="H10" s="2" t="s">
        <x:v>281</x:v>
      </x:c>
      <x:c r="I10" s="2" t="s">
        <x:v>90</x:v>
      </x:c>
    </x:row>
    <x:row r="11" spans="1:9" ht="20.100000000000001" customHeight="1">
      <x:c r="A11" s="924"/>
      <x:c r="B11" s="103" t="s">
        <x:v>165</x:v>
      </x:c>
      <x:c r="C11" s="100" t="str">
        <x:f t="shared" si="0"/>
        <x:v>평촌경영고등학교</x:v>
      </x:c>
      <x:c r="D11" s="103" t="s">
        <x:v>68</x:v>
      </x:c>
      <x:c r="E11" s="102">
        <x:v>4</x:v>
      </x:c>
      <x:c r="F11" s="511"/>
      <x:c r="G11" s="1" t="str">
        <x:f t="shared" si="1"/>
        <x:v>HCHO-4-</x:v>
      </x:c>
      <x:c r="H11" s="2" t="s">
        <x:v>253</x:v>
      </x:c>
      <x:c r="I11" s="2" t="s">
        <x:v>209</x:v>
      </x:c>
    </x:row>
    <x:row r="12" spans="1:7" ht="20.100000000000001" customHeight="1">
      <x:c r="A12" s="924"/>
      <x:c r="B12" s="103" t="s">
        <x:v>165</x:v>
      </x:c>
      <x:c r="C12" s="100" t="str">
        <x:f t="shared" si="0"/>
        <x:v>평촌경영고등학교</x:v>
      </x:c>
      <x:c r="D12" s="103" t="s">
        <x:v>68</x:v>
      </x:c>
      <x:c r="E12" s="102">
        <x:v>5</x:v>
      </x:c>
      <x:c r="F12" s="511"/>
      <x:c r="G12" s="1" t="str">
        <x:f t="shared" si="1"/>
        <x:v>HCHO-5-</x:v>
      </x:c>
    </x:row>
    <x:row r="13" spans="1:7" ht="20.100000000000001" customHeight="1">
      <x:c r="A13" s="923"/>
      <x:c r="B13" s="103" t="s">
        <x:v>165</x:v>
      </x:c>
      <x:c r="C13" s="100" t="str">
        <x:f t="shared" si="0"/>
        <x:v>평촌경영고등학교</x:v>
      </x:c>
      <x:c r="D13" s="103" t="s">
        <x:v>68</x:v>
      </x:c>
      <x:c r="E13" s="102">
        <x:v>6</x:v>
      </x:c>
      <x:c r="F13" s="511"/>
      <x:c r="G13" s="1" t="str">
        <x:f t="shared" si="1"/>
        <x:v>HCHO-6-</x:v>
      </x:c>
    </x:row>
    <x:row r="14" spans="1:7" ht="20.100000000000001" customHeight="1">
      <x:c r="A14" s="923"/>
      <x:c r="B14" s="103" t="s">
        <x:v>460</x:v>
      </x:c>
      <x:c r="C14" s="100" t="str">
        <x:f t="shared" si="0"/>
        <x:v>평촌경영고등학교</x:v>
      </x:c>
      <x:c r="D14" s="103" t="s">
        <x:v>275</x:v>
      </x:c>
      <x:c r="E14" s="102">
        <x:v>1</x:v>
      </x:c>
      <x:c r="F14" s="511" t="s">
        <x:v>177</x:v>
      </x:c>
      <x:c r="G14" s="1" t="str">
        <x:f t="shared" si="1"/>
        <x:v>VOC-1-A10741</x:v>
      </x:c>
    </x:row>
    <x:row r="15" spans="1:7" ht="20.100000000000001" customHeight="1">
      <x:c r="A15" s="923"/>
      <x:c r="B15" s="103" t="s">
        <x:v>460</x:v>
      </x:c>
      <x:c r="C15" s="100" t="str">
        <x:f t="shared" si="0"/>
        <x:v>평촌경영고등학교</x:v>
      </x:c>
      <x:c r="D15" s="103" t="s">
        <x:v>275</x:v>
      </x:c>
      <x:c r="E15" s="102">
        <x:v>2</x:v>
      </x:c>
      <x:c r="F15" s="511" t="s">
        <x:v>169</x:v>
      </x:c>
      <x:c r="G15" s="1" t="str">
        <x:f t="shared" si="1"/>
        <x:v>VOC-2-A11429</x:v>
      </x:c>
    </x:row>
    <x:row r="16" spans="1:7" ht="20.100000000000001" customHeight="1">
      <x:c r="A16" s="923"/>
      <x:c r="B16" s="103" t="s">
        <x:v>460</x:v>
      </x:c>
      <x:c r="C16" s="100" t="str">
        <x:f t="shared" si="0"/>
        <x:v>평촌경영고등학교</x:v>
      </x:c>
      <x:c r="D16" s="103" t="s">
        <x:v>275</x:v>
      </x:c>
      <x:c r="E16" s="102">
        <x:v>3</x:v>
      </x:c>
      <x:c r="F16" s="511" t="s">
        <x:v>175</x:v>
      </x:c>
      <x:c r="G16" s="1" t="str">
        <x:f t="shared" si="1"/>
        <x:v>VOC-3-A11416</x:v>
      </x:c>
    </x:row>
    <x:row r="17" spans="1:7" ht="20.100000000000001" customHeight="1">
      <x:c r="A17" s="924"/>
      <x:c r="B17" s="103" t="s">
        <x:v>460</x:v>
      </x:c>
      <x:c r="C17" s="100" t="str">
        <x:f t="shared" si="0"/>
        <x:v>평촌경영고등학교</x:v>
      </x:c>
      <x:c r="D17" s="103" t="s">
        <x:v>275</x:v>
      </x:c>
      <x:c r="E17" s="102">
        <x:v>4</x:v>
      </x:c>
      <x:c r="F17" s="511" t="s">
        <x:v>176</x:v>
      </x:c>
      <x:c r="G17" s="1" t="str">
        <x:f t="shared" si="1"/>
        <x:v>VOC-4-A11417</x:v>
      </x:c>
    </x:row>
    <x:row r="18" spans="1:7" ht="20.100000000000001" customHeight="1">
      <x:c r="A18" s="924"/>
      <x:c r="B18" s="103" t="s">
        <x:v>460</x:v>
      </x:c>
      <x:c r="C18" s="100" t="str">
        <x:f t="shared" si="0"/>
        <x:v>평촌경영고등학교</x:v>
      </x:c>
      <x:c r="D18" s="103" t="s">
        <x:v>275</x:v>
      </x:c>
      <x:c r="E18" s="102">
        <x:v>5</x:v>
      </x:c>
      <x:c r="F18" s="511" t="s">
        <x:v>77</x:v>
      </x:c>
      <x:c r="G18" s="1" t="str">
        <x:f t="shared" si="1"/>
        <x:v>VOC-5-A08800</x:v>
      </x:c>
    </x:row>
    <x:row r="19" spans="1:7" ht="20.100000000000001" customHeight="1">
      <x:c r="A19" s="924"/>
      <x:c r="B19" s="103" t="s">
        <x:v>460</x:v>
      </x:c>
      <x:c r="C19" s="100" t="str">
        <x:f t="shared" si="0"/>
        <x:v>평촌경영고등학교</x:v>
      </x:c>
      <x:c r="D19" s="103" t="s">
        <x:v>275</x:v>
      </x:c>
      <x:c r="E19" s="102">
        <x:v>6</x:v>
      </x:c>
      <x:c r="F19" s="511" t="s">
        <x:v>170</x:v>
      </x:c>
      <x:c r="G19" s="1" t="str">
        <x:f t="shared" si="1"/>
        <x:v>VOC-6-A11412</x:v>
      </x:c>
    </x:row>
    <x:row r="20" spans="1:7" ht="20.100000000000001" customHeight="1">
      <x:c r="A20" s="924"/>
      <x:c r="B20" s="103" t="s">
        <x:v>35</x:v>
      </x:c>
      <x:c r="C20" s="100" t="str">
        <x:f t="shared" si="0"/>
        <x:v>평촌경영고등학교</x:v>
      </x:c>
      <x:c r="D20" s="103" t="s">
        <x:v>278</x:v>
      </x:c>
      <x:c r="E20" s="102">
        <x:v>1</x:v>
      </x:c>
      <x:c r="F20" s="511"/>
      <x:c r="G20" s="1" t="str">
        <x:f t="shared" si="1"/>
        <x:v>BBA-1-</x:v>
      </x:c>
    </x:row>
    <x:row r="21" spans="1:7" ht="20.100000000000001" customHeight="1">
      <x:c r="A21" s="924"/>
      <x:c r="B21" s="103" t="s">
        <x:v>35</x:v>
      </x:c>
      <x:c r="C21" s="100" t="str">
        <x:f t="shared" si="0"/>
        <x:v>평촌경영고등학교</x:v>
      </x:c>
      <x:c r="D21" s="103" t="s">
        <x:v>278</x:v>
      </x:c>
      <x:c r="E21" s="102">
        <x:v>2</x:v>
      </x:c>
      <x:c r="F21" s="511"/>
      <x:c r="G21" s="1" t="str">
        <x:f t="shared" si="1"/>
        <x:v>BBA-2-</x:v>
      </x:c>
    </x:row>
    <x:row r="22" spans="1:7" ht="20.100000000000001" customHeight="1">
      <x:c r="A22" s="924"/>
      <x:c r="B22" s="103" t="s">
        <x:v>35</x:v>
      </x:c>
      <x:c r="C22" s="100" t="str">
        <x:f t="shared" si="0"/>
        <x:v>평촌경영고등학교</x:v>
      </x:c>
      <x:c r="D22" s="103" t="s">
        <x:v>278</x:v>
      </x:c>
      <x:c r="E22" s="102">
        <x:v>3</x:v>
      </x:c>
      <x:c r="F22" s="511"/>
      <x:c r="G22" s="1" t="str">
        <x:f t="shared" si="1"/>
        <x:v>BBA-3-</x:v>
      </x:c>
    </x:row>
    <x:row r="23" spans="1:7" ht="20.100000000000001" customHeight="1">
      <x:c r="A23" s="924"/>
      <x:c r="B23" s="103" t="s">
        <x:v>90</x:v>
      </x:c>
      <x:c r="C23" s="100" t="str">
        <x:f t="shared" si="0"/>
        <x:v>평촌경영고등학교</x:v>
      </x:c>
      <x:c r="D23" s="103" t="s">
        <x:v>281</x:v>
      </x:c>
      <x:c r="E23" s="102">
        <x:v>1</x:v>
      </x:c>
      <x:c r="F23" s="511"/>
      <x:c r="G23" s="1" t="str">
        <x:f t="shared" si="1"/>
        <x:v>NBA-1-</x:v>
      </x:c>
    </x:row>
    <x:row r="24" spans="1:7" ht="20.100000000000001" customHeight="1">
      <x:c r="A24" s="924"/>
      <x:c r="B24" s="103" t="s">
        <x:v>90</x:v>
      </x:c>
      <x:c r="C24" s="100" t="str">
        <x:f t="shared" si="0"/>
        <x:v>평촌경영고등학교</x:v>
      </x:c>
      <x:c r="D24" s="103" t="s">
        <x:v>281</x:v>
      </x:c>
      <x:c r="E24" s="102">
        <x:v>2</x:v>
      </x:c>
      <x:c r="F24" s="511"/>
      <x:c r="G24" s="1" t="str">
        <x:f t="shared" si="1"/>
        <x:v>NBA-2-</x:v>
      </x:c>
    </x:row>
    <x:row r="25" spans="1:7" ht="20.100000000000001" customHeight="1">
      <x:c r="A25" s="924"/>
      <x:c r="B25" s="103" t="s">
        <x:v>90</x:v>
      </x:c>
      <x:c r="C25" s="100" t="str">
        <x:f t="shared" si="0"/>
        <x:v>평촌경영고등학교</x:v>
      </x:c>
      <x:c r="D25" s="103" t="s">
        <x:v>281</x:v>
      </x:c>
      <x:c r="E25" s="102">
        <x:v>3</x:v>
      </x:c>
      <x:c r="F25" s="511"/>
      <x:c r="G25" s="1" t="str">
        <x:f t="shared" si="1"/>
        <x:v>NBA-3-</x:v>
      </x:c>
    </x:row>
    <x:row r="26" spans="1:7" ht="20.100000000000001" customHeight="1">
      <x:c r="A26" s="924"/>
      <x:c r="B26" s="103" t="s">
        <x:v>90</x:v>
      </x:c>
      <x:c r="C26" s="100" t="str">
        <x:f t="shared" si="0"/>
        <x:v>평촌경영고등학교</x:v>
      </x:c>
      <x:c r="D26" s="103" t="s">
        <x:v>281</x:v>
      </x:c>
      <x:c r="E26" s="102">
        <x:v>4</x:v>
      </x:c>
      <x:c r="F26" s="511"/>
      <x:c r="G26" s="1" t="str">
        <x:f t="shared" si="1"/>
        <x:v>NBA-4-</x:v>
      </x:c>
    </x:row>
    <x:row r="27" spans="1:7" ht="20.100000000000001" customHeight="1">
      <x:c r="A27" s="924"/>
      <x:c r="B27" s="103" t="s">
        <x:v>90</x:v>
      </x:c>
      <x:c r="C27" s="100" t="str">
        <x:f t="shared" si="0"/>
        <x:v>평촌경영고등학교</x:v>
      </x:c>
      <x:c r="D27" s="103" t="s">
        <x:v>281</x:v>
      </x:c>
      <x:c r="E27" s="102">
        <x:v>5</x:v>
      </x:c>
      <x:c r="F27" s="511"/>
      <x:c r="G27" s="1" t="str">
        <x:f t="shared" si="1"/>
        <x:v>NBA-5-</x:v>
      </x:c>
    </x:row>
    <x:row r="28" spans="1:7" ht="20.100000000000001" customHeight="1">
      <x:c r="A28" s="924"/>
      <x:c r="B28" s="103" t="s">
        <x:v>90</x:v>
      </x:c>
      <x:c r="C28" s="100" t="str">
        <x:f t="shared" si="0"/>
        <x:v>평촌경영고등학교</x:v>
      </x:c>
      <x:c r="D28" s="103" t="s">
        <x:v>281</x:v>
      </x:c>
      <x:c r="E28" s="102">
        <x:v>6</x:v>
      </x:c>
      <x:c r="F28" s="512"/>
      <x:c r="G28" s="1" t="str">
        <x:f t="shared" si="1"/>
        <x:v>NBA-6-</x:v>
      </x:c>
    </x:row>
    <x:row r="29" spans="1:7" ht="20.100000000000001" customHeight="1">
      <x:c r="A29" s="924"/>
      <x:c r="B29" s="103"/>
      <x:c r="C29" s="100" t="str">
        <x:f t="shared" si="0"/>
        <x:v>평촌경영고등학교</x:v>
      </x:c>
      <x:c r="D29" s="103"/>
      <x:c r="E29" s="104"/>
      <x:c r="F29" s="513"/>
      <x:c r="G29" s="1" t="str">
        <x:f t="shared" si="1"/>
        <x:v>--</x:v>
      </x:c>
    </x:row>
    <x:row r="30" spans="1:10" ht="20.100000000000001" customHeight="1">
      <x:c r="A30" s="924"/>
      <x:c r="B30" s="103"/>
      <x:c r="C30" s="100" t="str">
        <x:f t="shared" si="0"/>
        <x:v>평촌경영고등학교</x:v>
      </x:c>
      <x:c r="D30" s="103"/>
      <x:c r="E30" s="104"/>
      <x:c r="F30" s="513"/>
      <x:c r="G30" s="1" t="str">
        <x:f t="shared" si="1"/>
        <x:v>--</x:v>
      </x:c>
      <x:c r="J30" s="1" t="s">
        <x:v>68</x:v>
      </x:c>
    </x:row>
    <x:row r="31" spans="1:10" ht="20.100000000000001" customHeight="1">
      <x:c r="A31" s="924"/>
      <x:c r="B31" s="103"/>
      <x:c r="C31" s="100" t="str">
        <x:f t="shared" si="0"/>
        <x:v>평촌경영고등학교</x:v>
      </x:c>
      <x:c r="D31" s="103"/>
      <x:c r="E31" s="104"/>
      <x:c r="F31" s="513"/>
      <x:c r="G31" s="1" t="str">
        <x:f t="shared" si="1"/>
        <x:v>--</x:v>
      </x:c>
      <x:c r="J31" s="1" t="s">
        <x:v>275</x:v>
      </x:c>
    </x:row>
    <x:row r="32" spans="1:10" ht="20.100000000000001" customHeight="1">
      <x:c r="A32" s="924"/>
      <x:c r="B32" s="103"/>
      <x:c r="C32" s="100" t="str">
        <x:f t="shared" si="0"/>
        <x:v>평촌경영고등학교</x:v>
      </x:c>
      <x:c r="D32" s="103"/>
      <x:c r="E32" s="104"/>
      <x:c r="F32" s="513"/>
      <x:c r="G32" s="1" t="str">
        <x:f t="shared" si="1"/>
        <x:v>--</x:v>
      </x:c>
      <x:c r="J32" s="1" t="s">
        <x:v>30</x:v>
      </x:c>
    </x:row>
    <x:row r="33" spans="1:10" ht="20.100000000000001" customHeight="1">
      <x:c r="A33" s="925"/>
      <x:c r="B33" s="103"/>
      <x:c r="C33" s="100" t="str">
        <x:f t="shared" si="0"/>
        <x:v>평촌경영고등학교</x:v>
      </x:c>
      <x:c r="D33" s="103"/>
      <x:c r="E33" s="105"/>
      <x:c r="F33" s="514"/>
      <x:c r="G33" s="1" t="str">
        <x:f t="shared" si="1"/>
        <x:v>--</x:v>
      </x:c>
      <x:c r="J33" s="1" t="s">
        <x:v>27</x:v>
      </x:c>
    </x:row>
    <x:row r="34" spans="1:10" ht="34.5" customHeight="1">
      <x:c r="A34" s="515" t="s">
        <x:v>119</x:v>
      </x:c>
      <x:c r="B34" s="907">
        <x:v>46183</x:v>
      </x:c>
      <x:c r="C34" s="907"/>
      <x:c r="D34" s="907"/>
      <x:c r="E34" s="907"/>
      <x:c r="F34" s="908"/>
      <x:c r="J34" s="1" t="s">
        <x:v>255</x:v>
      </x:c>
    </x:row>
    <x:row r="35" spans="1:10" ht="34.5" customHeight="1">
      <x:c r="A35" s="515" t="s">
        <x:v>260</x:v>
      </x:c>
      <x:c r="B35" s="906" t="s">
        <x:v>267</x:v>
      </x:c>
      <x:c r="C35" s="906"/>
      <x:c r="D35" s="906"/>
      <x:c r="E35" s="906"/>
      <x:c r="F35" s="516" t="s">
        <x:v>433</x:v>
      </x:c>
      <x:c r="J35" s="1" t="s">
        <x:v>278</x:v>
      </x:c>
    </x:row>
    <x:row r="36" spans="1:10" ht="34.5" customHeight="1">
      <x:c r="A36" s="515" t="s">
        <x:v>279</x:v>
      </x:c>
      <x:c r="B36" s="906" t="s">
        <x:v>213</x:v>
      </x:c>
      <x:c r="C36" s="906"/>
      <x:c r="D36" s="906"/>
      <x:c r="E36" s="906"/>
      <x:c r="F36" s="516" t="s">
        <x:v>433</x:v>
      </x:c>
      <x:c r="J36" s="1" t="s">
        <x:v>281</x:v>
      </x:c>
    </x:row>
    <x:row r="37" spans="1:10" ht="34.5" customHeight="1">
      <x:c r="A37" s="517" t="s">
        <x:v>217</x:v>
      </x:c>
      <x:c r="B37" s="910"/>
      <x:c r="C37" s="910"/>
      <x:c r="D37" s="910"/>
      <x:c r="E37" s="910"/>
      <x:c r="F37" s="911"/>
      <x:c r="J37" s="1" t="s">
        <x:v>264</x:v>
      </x:c>
    </x:row>
    <x:row r="38" spans="1:6" ht="34.5" customHeight="1">
      <x:c r="A38" s="912" t="s">
        <x:v>339</x:v>
      </x:c>
      <x:c r="B38" s="913"/>
      <x:c r="C38" s="913"/>
      <x:c r="D38" s="914"/>
      <x:c r="E38" s="913"/>
      <x:c r="F38" s="915"/>
    </x:row>
    <x:row r="39" spans="1:6" ht="34.5" customHeight="1">
      <x:c r="A39" s="916"/>
      <x:c r="B39" s="917"/>
      <x:c r="C39" s="917"/>
      <x:c r="D39" s="918"/>
      <x:c r="E39" s="917"/>
      <x:c r="F39" s="919"/>
    </x:row>
    <x:row r="40" spans="1:6" ht="0" hidden="1" customHeight="1">
      <x:c r="A40" s="510"/>
      <x:c r="F40" s="276"/>
    </x:row>
    <x:row r="41" spans="1:6" ht="0" hidden="1" customHeight="1">
      <x:c r="A41" s="510"/>
      <x:c r="F41" s="276"/>
    </x:row>
    <x:row r="42" spans="1:6" ht="0" hidden="1" customHeight="1">
      <x:c r="A42" s="518"/>
      <x:c r="B42" s="106"/>
      <x:c r="C42" s="106"/>
      <x:c r="D42" s="106"/>
      <x:c r="E42" s="106"/>
      <x:c r="F42" s="277"/>
    </x:row>
    <x:row r="43" spans="1:6">
      <x:c r="A43" s="920" t="s">
        <x:v>346</x:v>
      </x:c>
      <x:c r="B43" s="921"/>
      <x:c r="C43" s="921"/>
      <x:c r="D43" s="921"/>
      <x:c r="E43" s="921"/>
      <x:c r="F43" s="922"/>
    </x:row>
  </x:sheetData>
  <x:mergeCells count="14">
    <x:mergeCell ref="A3:F3"/>
    <x:mergeCell ref="A4:B4"/>
    <x:mergeCell ref="C4:F4"/>
    <x:mergeCell ref="A5:B5"/>
    <x:mergeCell ref="C5:F5"/>
    <x:mergeCell ref="B36:E36"/>
    <x:mergeCell ref="B37:F37"/>
    <x:mergeCell ref="A38:F39"/>
    <x:mergeCell ref="A43:F43"/>
    <x:mergeCell ref="A6:B6"/>
    <x:mergeCell ref="C6:F6"/>
    <x:mergeCell ref="A7:A33"/>
    <x:mergeCell ref="B34:F34"/>
    <x:mergeCell ref="B35:E35"/>
  </x:mergeCells>
  <x:dataValidations count="2">
    <x:dataValidation type="list" operator="equal" allowBlank="1" showInputMessage="1" showErrorMessage="1" sqref="B8:B33">
      <x:formula1>$I$4:$I$11</x:formula1>
    </x:dataValidation>
    <x:dataValidation type="list" operator="equal" allowBlank="1" showInputMessage="1" showErrorMessage="1" sqref="D8:D33">
      <x:formula1>$H$4:$H$11</x:formula1>
    </x:dataValidation>
  </x:dataValidations>
  <x:pageMargins left="0.74805557727813721" right="0.74805557727813721" top="0.98430556058883667" bottom="0.98430556058883667" header="0.51138889789581299" footer="0.51138889789581299"/>
  <x:pageSetup paperSize="9" scale="74" firstPageNumber="1" fitToWidth="0" fitToHeight="0" orientation="portrait" usePrinterDefaults="1" blackAndWhite="0" draft="0" useFirstPageNumber="0" horizontalDpi="600" verticalDpi="600" copies="1"/>
  <x:rowBreaks count="1" manualBreakCount="1">
    <x:brk id="43" min="0" max="1048575" man="1" pt="0"/>
  </x:rowBreaks>
  <x:colBreaks count="1" manualBreakCount="1">
    <x:brk id="6" min="0" max="16383" man="1" pt="0"/>
  </x:colBreaks>
</x:worksheet>
</file>

<file path=xl/worksheets/sheet7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5">
    <x:tabColor rgb="ff0070c0"/>
  </x:sheetPr>
  <x:dimension ref="A1:H50"/>
  <x:sheetViews>
    <x:sheetView view="pageBreakPreview" topLeftCell="A1" zoomScaleNormal="100" zoomScaleSheetLayoutView="100" workbookViewId="0">
      <x:selection activeCell="D26" activeCellId="0" sqref="D26:D26"/>
    </x:sheetView>
  </x:sheetViews>
  <x:sheetFormatPr defaultColWidth="9" defaultRowHeight="17.399999999999999"/>
  <x:cols>
    <x:col min="1" max="1" width="9.3984375" style="1" bestFit="1" customWidth="1"/>
    <x:col min="2" max="2" width="9" style="501" customWidth="1"/>
    <x:col min="3" max="3" width="12.8984375" style="1" customWidth="1"/>
    <x:col min="4" max="4" width="20.69921875" style="501" bestFit="1" customWidth="1"/>
    <x:col min="5" max="5" width="13.69921875" style="1" customWidth="1"/>
    <x:col min="6" max="6" width="9.09765625" style="1" customWidth="1"/>
  </x:cols>
  <x:sheetData>
    <x:row r="1" spans="1:8">
      <x:c r="A1" s="896" t="s">
        <x:v>471</x:v>
      </x:c>
      <x:c r="B1" s="896"/>
      <x:c r="C1" s="896"/>
      <x:c r="D1" s="896"/>
      <x:c r="E1" s="896"/>
      <x:c r="F1" s="896"/>
      <x:c r="G1" s="896"/>
      <x:c r="H1" s="896"/>
    </x:row>
    <x:row r="3" spans="1:8">
      <x:c r="A3" s="926" t="s">
        <x:v>212</x:v>
      </x:c>
      <x:c r="B3" s="927" t="s">
        <x:v>283</x:v>
      </x:c>
      <x:c r="C3" s="926" t="s">
        <x:v>230</x:v>
      </x:c>
      <x:c r="D3" s="927" t="s">
        <x:v>32</x:v>
      </x:c>
      <x:c r="E3" s="926" t="s">
        <x:v>17</x:v>
      </x:c>
      <x:c r="F3" s="926" t="s">
        <x:v>21</x:v>
      </x:c>
      <x:c r="G3" s="926"/>
      <x:c r="H3" s="926" t="s">
        <x:v>208</x:v>
      </x:c>
    </x:row>
    <x:row r="4" spans="1:8">
      <x:c r="A4" s="926"/>
      <x:c r="B4" s="927"/>
      <x:c r="C4" s="926"/>
      <x:c r="D4" s="927"/>
      <x:c r="E4" s="926"/>
      <x:c r="F4" s="51" t="s">
        <x:v>230</x:v>
      </x:c>
      <x:c r="G4" s="51" t="s">
        <x:v>21</x:v>
      </x:c>
      <x:c r="H4" s="926"/>
    </x:row>
    <x:row r="5" spans="1:8">
      <x:c r="A5" s="74" t="str">
        <x:f>시료인계서!$C$4</x:f>
        <x:v>2026.06.10</x:v>
      </x:c>
      <x:c r="B5" s="500" t="str">
        <x:f>'입력1(학교시설명 등 기본사항 입력) 보고서1,2'!$I$15</x:f>
        <x:v>박정식</x:v>
      </x:c>
      <x:c r="C5" s="51" t="str">
        <x:f>시료인계서!$C$5</x:f>
        <x:v>평촌경영고등학교</x:v>
      </x:c>
      <x:c r="D5" s="500" t="s">
        <x:v>158</x:v>
      </x:c>
      <x:c r="E5" s="51" t="str">
        <x:f>시료인계서!$B$8</x:f>
        <x:v>포름알데하이드</x:v>
      </x:c>
      <x:c r="F5" s="51" t="str">
        <x:f>시료인계서!C8</x:f>
        <x:v>평촌경영고등학교</x:v>
      </x:c>
      <x:c r="G5" s="51" t="str">
        <x:f>시료인계서!G8</x:f>
        <x:v>HCHO-1-</x:v>
      </x:c>
      <x:c r="H5" s="51"/>
    </x:row>
    <x:row r="6" spans="1:8">
      <x:c r="A6" s="74" t="str">
        <x:f>시료인계서!$C$4</x:f>
        <x:v>2026.06.10</x:v>
      </x:c>
      <x:c r="B6" s="500" t="str">
        <x:f>'입력1(학교시설명 등 기본사항 입력) 보고서1,2'!$I$15</x:f>
        <x:v>박정식</x:v>
      </x:c>
      <x:c r="C6" s="51" t="str">
        <x:f>시료인계서!$C$5</x:f>
        <x:v>평촌경영고등학교</x:v>
      </x:c>
      <x:c r="D6" s="500" t="s">
        <x:v>158</x:v>
      </x:c>
      <x:c r="E6" s="51" t="str">
        <x:f>시료인계서!$B$9</x:f>
        <x:v>포름알데하이드</x:v>
      </x:c>
      <x:c r="F6" s="51" t="str">
        <x:f>시료인계서!C9</x:f>
        <x:v>평촌경영고등학교</x:v>
      </x:c>
      <x:c r="G6" s="51" t="str">
        <x:f>시료인계서!G9</x:f>
        <x:v>HCHO-2-</x:v>
      </x:c>
      <x:c r="H6" s="51"/>
    </x:row>
    <x:row r="7" spans="1:8">
      <x:c r="A7" s="74" t="str">
        <x:f>시료인계서!$C$4</x:f>
        <x:v>2026.06.10</x:v>
      </x:c>
      <x:c r="B7" s="500" t="str">
        <x:f>'입력1(학교시설명 등 기본사항 입력) 보고서1,2'!$I$15</x:f>
        <x:v>박정식</x:v>
      </x:c>
      <x:c r="C7" s="51" t="str">
        <x:f>시료인계서!$C$5</x:f>
        <x:v>평촌경영고등학교</x:v>
      </x:c>
      <x:c r="D7" s="500" t="s">
        <x:v>136</x:v>
      </x:c>
      <x:c r="E7" s="51" t="str">
        <x:f>시료인계서!$B$10</x:f>
        <x:v>포름알데하이드</x:v>
      </x:c>
      <x:c r="F7" s="51" t="str">
        <x:f>시료인계서!C10</x:f>
        <x:v>평촌경영고등학교</x:v>
      </x:c>
      <x:c r="G7" s="51" t="str">
        <x:f>시료인계서!G10</x:f>
        <x:v>HCHO-3-</x:v>
      </x:c>
      <x:c r="H7" s="51"/>
    </x:row>
    <x:row r="8" spans="1:8">
      <x:c r="A8" s="74" t="str">
        <x:f>시료인계서!$C$4</x:f>
        <x:v>2026.06.10</x:v>
      </x:c>
      <x:c r="B8" s="500" t="str">
        <x:f>'입력1(학교시설명 등 기본사항 입력) 보고서1,2'!$I$15</x:f>
        <x:v>박정식</x:v>
      </x:c>
      <x:c r="C8" s="51" t="str">
        <x:f>시료인계서!$C$5</x:f>
        <x:v>평촌경영고등학교</x:v>
      </x:c>
      <x:c r="D8" s="500" t="s">
        <x:v>136</x:v>
      </x:c>
      <x:c r="E8" s="51" t="str">
        <x:f>시료인계서!$B$11</x:f>
        <x:v>포름알데하이드</x:v>
      </x:c>
      <x:c r="F8" s="51" t="str">
        <x:f>시료인계서!C11</x:f>
        <x:v>평촌경영고등학교</x:v>
      </x:c>
      <x:c r="G8" s="51" t="str">
        <x:f>시료인계서!G11</x:f>
        <x:v>HCHO-4-</x:v>
      </x:c>
      <x:c r="H8" s="51"/>
    </x:row>
    <x:row r="9" spans="1:8">
      <x:c r="A9" s="74" t="str">
        <x:f>시료인계서!$C$4</x:f>
        <x:v>2026.06.10</x:v>
      </x:c>
      <x:c r="B9" s="500" t="str">
        <x:f>'입력1(학교시설명 등 기본사항 입력) 보고서1,2'!$I$15</x:f>
        <x:v>박정식</x:v>
      </x:c>
      <x:c r="C9" s="51" t="str">
        <x:f>시료인계서!$C$5</x:f>
        <x:v>평촌경영고등학교</x:v>
      </x:c>
      <x:c r="D9" s="500" t="s">
        <x:v>106</x:v>
      </x:c>
      <x:c r="E9" s="51" t="str">
        <x:f>시료인계서!$B$12</x:f>
        <x:v>포름알데하이드</x:v>
      </x:c>
      <x:c r="F9" s="51" t="str">
        <x:f>시료인계서!C12</x:f>
        <x:v>평촌경영고등학교</x:v>
      </x:c>
      <x:c r="G9" s="51" t="str">
        <x:f>시료인계서!G12</x:f>
        <x:v>HCHO-5-</x:v>
      </x:c>
      <x:c r="H9" s="51"/>
    </x:row>
    <x:row r="10" spans="1:8">
      <x:c r="A10" s="74" t="str">
        <x:f>시료인계서!$C$4</x:f>
        <x:v>2026.06.10</x:v>
      </x:c>
      <x:c r="B10" s="500" t="str">
        <x:f>'입력1(학교시설명 등 기본사항 입력) 보고서1,2'!$I$15</x:f>
        <x:v>박정식</x:v>
      </x:c>
      <x:c r="C10" s="51" t="str">
        <x:f>시료인계서!$C$5</x:f>
        <x:v>평촌경영고등학교</x:v>
      </x:c>
      <x:c r="D10" s="500" t="s">
        <x:v>106</x:v>
      </x:c>
      <x:c r="E10" s="51" t="str">
        <x:f>시료인계서!$B$13</x:f>
        <x:v>포름알데하이드</x:v>
      </x:c>
      <x:c r="F10" s="51" t="str">
        <x:f>시료인계서!C13</x:f>
        <x:v>평촌경영고등학교</x:v>
      </x:c>
      <x:c r="G10" s="51" t="str">
        <x:f>시료인계서!G13</x:f>
        <x:v>HCHO-6-</x:v>
      </x:c>
      <x:c r="H10" s="51"/>
    </x:row>
    <x:row r="11" spans="1:8">
      <x:c r="A11" s="74" t="str">
        <x:f>시료인계서!$C$4</x:f>
        <x:v>2026.06.10</x:v>
      </x:c>
      <x:c r="B11" s="500" t="str">
        <x:f>'입력1(학교시설명 등 기본사항 입력) 보고서1,2'!$I$15</x:f>
        <x:v>박정식</x:v>
      </x:c>
      <x:c r="C11" s="51" t="str">
        <x:f>시료인계서!$C$5</x:f>
        <x:v>평촌경영고등학교</x:v>
      </x:c>
      <x:c r="D11" s="500" t="s">
        <x:v>158</x:v>
      </x:c>
      <x:c r="E11" s="51" t="str">
        <x:f>시료인계서!$B$14</x:f>
        <x:v>총휘발성유기화합물</x:v>
      </x:c>
      <x:c r="F11" s="51" t="str">
        <x:f>시료인계서!C14</x:f>
        <x:v>평촌경영고등학교</x:v>
      </x:c>
      <x:c r="G11" s="51" t="str">
        <x:f>시료인계서!G14</x:f>
        <x:v>VOC-1-A10741</x:v>
      </x:c>
      <x:c r="H11" s="51"/>
    </x:row>
    <x:row r="12" spans="1:8">
      <x:c r="A12" s="74" t="str">
        <x:f>시료인계서!$C$4</x:f>
        <x:v>2026.06.10</x:v>
      </x:c>
      <x:c r="B12" s="500" t="str">
        <x:f>'입력1(학교시설명 등 기본사항 입력) 보고서1,2'!$I$15</x:f>
        <x:v>박정식</x:v>
      </x:c>
      <x:c r="C12" s="51" t="str">
        <x:f>시료인계서!$C$5</x:f>
        <x:v>평촌경영고등학교</x:v>
      </x:c>
      <x:c r="D12" s="500" t="s">
        <x:v>158</x:v>
      </x:c>
      <x:c r="E12" s="51" t="str">
        <x:f>시료인계서!$B$15</x:f>
        <x:v>총휘발성유기화합물</x:v>
      </x:c>
      <x:c r="F12" s="51" t="str">
        <x:f>시료인계서!C15</x:f>
        <x:v>평촌경영고등학교</x:v>
      </x:c>
      <x:c r="G12" s="51" t="str">
        <x:f>시료인계서!G15</x:f>
        <x:v>VOC-2-A11429</x:v>
      </x:c>
      <x:c r="H12" s="51"/>
    </x:row>
    <x:row r="13" spans="1:8">
      <x:c r="A13" s="74" t="str">
        <x:f>시료인계서!$C$4</x:f>
        <x:v>2026.06.10</x:v>
      </x:c>
      <x:c r="B13" s="500" t="str">
        <x:f>'입력1(학교시설명 등 기본사항 입력) 보고서1,2'!$I$15</x:f>
        <x:v>박정식</x:v>
      </x:c>
      <x:c r="C13" s="51" t="str">
        <x:f>시료인계서!$C$5</x:f>
        <x:v>평촌경영고등학교</x:v>
      </x:c>
      <x:c r="D13" s="500" t="s">
        <x:v>136</x:v>
      </x:c>
      <x:c r="E13" s="51" t="str">
        <x:f>시료인계서!$B$16</x:f>
        <x:v>총휘발성유기화합물</x:v>
      </x:c>
      <x:c r="F13" s="51" t="str">
        <x:f>시료인계서!C16</x:f>
        <x:v>평촌경영고등학교</x:v>
      </x:c>
      <x:c r="G13" s="51" t="str">
        <x:f>시료인계서!G16</x:f>
        <x:v>VOC-3-A11416</x:v>
      </x:c>
      <x:c r="H13" s="51"/>
    </x:row>
    <x:row r="14" spans="1:8">
      <x:c r="A14" s="74" t="str">
        <x:f>시료인계서!$C$4</x:f>
        <x:v>2026.06.10</x:v>
      </x:c>
      <x:c r="B14" s="500" t="str">
        <x:f>'입력1(학교시설명 등 기본사항 입력) 보고서1,2'!$I$15</x:f>
        <x:v>박정식</x:v>
      </x:c>
      <x:c r="C14" s="51" t="str">
        <x:f>시료인계서!$C$5</x:f>
        <x:v>평촌경영고등학교</x:v>
      </x:c>
      <x:c r="D14" s="500" t="s">
        <x:v>136</x:v>
      </x:c>
      <x:c r="E14" s="51" t="str">
        <x:f>시료인계서!$B$17</x:f>
        <x:v>총휘발성유기화합물</x:v>
      </x:c>
      <x:c r="F14" s="51" t="str">
        <x:f>시료인계서!C17</x:f>
        <x:v>평촌경영고등학교</x:v>
      </x:c>
      <x:c r="G14" s="51" t="str">
        <x:f>시료인계서!G17</x:f>
        <x:v>VOC-4-A11417</x:v>
      </x:c>
      <x:c r="H14" s="51"/>
    </x:row>
    <x:row r="15" spans="1:8">
      <x:c r="A15" s="74" t="str">
        <x:f>시료인계서!$C$4</x:f>
        <x:v>2026.06.10</x:v>
      </x:c>
      <x:c r="B15" s="500" t="str">
        <x:f>'입력1(학교시설명 등 기본사항 입력) 보고서1,2'!$I$15</x:f>
        <x:v>박정식</x:v>
      </x:c>
      <x:c r="C15" s="51" t="str">
        <x:f>시료인계서!$C$5</x:f>
        <x:v>평촌경영고등학교</x:v>
      </x:c>
      <x:c r="D15" s="500" t="s">
        <x:v>106</x:v>
      </x:c>
      <x:c r="E15" s="51" t="str">
        <x:f>시료인계서!$B$18</x:f>
        <x:v>총휘발성유기화합물</x:v>
      </x:c>
      <x:c r="F15" s="51" t="str">
        <x:f>시료인계서!C18</x:f>
        <x:v>평촌경영고등학교</x:v>
      </x:c>
      <x:c r="G15" s="51" t="str">
        <x:f>시료인계서!G18</x:f>
        <x:v>VOC-5-A08800</x:v>
      </x:c>
      <x:c r="H15" s="51"/>
    </x:row>
    <x:row r="16" spans="1:8">
      <x:c r="A16" s="74" t="str">
        <x:f>시료인계서!$C$4</x:f>
        <x:v>2026.06.10</x:v>
      </x:c>
      <x:c r="B16" s="500" t="str">
        <x:f>'입력1(학교시설명 등 기본사항 입력) 보고서1,2'!$I$15</x:f>
        <x:v>박정식</x:v>
      </x:c>
      <x:c r="C16" s="51" t="str">
        <x:f>시료인계서!$C$5</x:f>
        <x:v>평촌경영고등학교</x:v>
      </x:c>
      <x:c r="D16" s="500" t="s">
        <x:v>106</x:v>
      </x:c>
      <x:c r="E16" s="51" t="str">
        <x:f>시료인계서!$B$19</x:f>
        <x:v>총휘발성유기화합물</x:v>
      </x:c>
      <x:c r="F16" s="51" t="str">
        <x:f>시료인계서!C19</x:f>
        <x:v>평촌경영고등학교</x:v>
      </x:c>
      <x:c r="G16" s="51" t="str">
        <x:f>시료인계서!G19</x:f>
        <x:v>VOC-6-A11412</x:v>
      </x:c>
      <x:c r="H16" s="51"/>
    </x:row>
    <x:row r="17" spans="1:8">
      <x:c r="A17" s="74" t="str">
        <x:f>시료인계서!$C$4</x:f>
        <x:v>2026.06.10</x:v>
      </x:c>
      <x:c r="B17" s="500" t="str">
        <x:f>'입력1(학교시설명 등 기본사항 입력) 보고서1,2'!$I$15</x:f>
        <x:v>박정식</x:v>
      </x:c>
      <x:c r="C17" s="51" t="str">
        <x:f>시료인계서!$C$5</x:f>
        <x:v>평촌경영고등학교</x:v>
      </x:c>
      <x:c r="D17" s="500" t="s">
        <x:v>109</x:v>
      </x:c>
      <x:c r="E17" s="51" t="str">
        <x:f>시료인계서!$B$20</x:f>
        <x:v>부유세균</x:v>
      </x:c>
      <x:c r="F17" s="51" t="str">
        <x:f>시료인계서!C20</x:f>
        <x:v>평촌경영고등학교</x:v>
      </x:c>
      <x:c r="G17" s="51" t="str">
        <x:f>시료인계서!G20</x:f>
        <x:v>BBA-1-</x:v>
      </x:c>
      <x:c r="H17" s="51"/>
    </x:row>
    <x:row r="18" spans="1:8">
      <x:c r="A18" s="74" t="str">
        <x:f>시료인계서!$C$4</x:f>
        <x:v>2026.06.10</x:v>
      </x:c>
      <x:c r="B18" s="500" t="str">
        <x:f>'입력1(학교시설명 등 기본사항 입력) 보고서1,2'!$I$15</x:f>
        <x:v>박정식</x:v>
      </x:c>
      <x:c r="C18" s="51" t="str">
        <x:f>시료인계서!$C$5</x:f>
        <x:v>평촌경영고등학교</x:v>
      </x:c>
      <x:c r="D18" s="500" t="s">
        <x:v>114</x:v>
      </x:c>
      <x:c r="E18" s="51" t="str">
        <x:f>시료인계서!$B$21</x:f>
        <x:v>부유세균</x:v>
      </x:c>
      <x:c r="F18" s="51" t="str">
        <x:f>시료인계서!C21</x:f>
        <x:v>평촌경영고등학교</x:v>
      </x:c>
      <x:c r="G18" s="51" t="str">
        <x:f>시료인계서!G21</x:f>
        <x:v>BBA-2-</x:v>
      </x:c>
      <x:c r="H18" s="51"/>
    </x:row>
    <x:row r="19" spans="1:8">
      <x:c r="A19" s="74" t="str">
        <x:f>시료인계서!$C$4</x:f>
        <x:v>2026.06.10</x:v>
      </x:c>
      <x:c r="B19" s="500" t="str">
        <x:f>'입력1(학교시설명 등 기본사항 입력) 보고서1,2'!$I$15</x:f>
        <x:v>박정식</x:v>
      </x:c>
      <x:c r="C19" s="51" t="str">
        <x:f>시료인계서!$C$5</x:f>
        <x:v>평촌경영고등학교</x:v>
      </x:c>
      <x:c r="D19" s="500" t="s">
        <x:v>407</x:v>
      </x:c>
      <x:c r="E19" s="51" t="str">
        <x:f>시료인계서!$B$22</x:f>
        <x:v>부유세균</x:v>
      </x:c>
      <x:c r="F19" s="51" t="str">
        <x:f>시료인계서!C22</x:f>
        <x:v>평촌경영고등학교</x:v>
      </x:c>
      <x:c r="G19" s="51" t="str">
        <x:f>시료인계서!G22</x:f>
        <x:v>BBA-3-</x:v>
      </x:c>
      <x:c r="H19" s="51"/>
    </x:row>
    <x:row r="20" spans="1:8">
      <x:c r="A20" s="74" t="str">
        <x:f>시료인계서!$C$4</x:f>
        <x:v>2026.06.10</x:v>
      </x:c>
      <x:c r="B20" s="500" t="str">
        <x:f>'입력1(학교시설명 등 기본사항 입력) 보고서1,2'!$I$15</x:f>
        <x:v>박정식</x:v>
      </x:c>
      <x:c r="C20" s="51" t="str">
        <x:f>시료인계서!$C$5</x:f>
        <x:v>평촌경영고등학교</x:v>
      </x:c>
      <x:c r="D20" s="500" t="s">
        <x:v>271</x:v>
      </x:c>
      <x:c r="E20" s="51" t="str">
        <x:f>시료인계서!$B$23</x:f>
        <x:v>낙하세균</x:v>
      </x:c>
      <x:c r="F20" s="51" t="str">
        <x:f>시료인계서!C23</x:f>
        <x:v>평촌경영고등학교</x:v>
      </x:c>
      <x:c r="G20" s="51" t="str">
        <x:f>시료인계서!G23</x:f>
        <x:v>NBA-1-</x:v>
      </x:c>
      <x:c r="H20" s="51"/>
    </x:row>
    <x:row r="21" spans="1:8">
      <x:c r="A21" s="74" t="str">
        <x:f>시료인계서!$C$4</x:f>
        <x:v>2026.06.10</x:v>
      </x:c>
      <x:c r="B21" s="500" t="str">
        <x:f>'입력1(학교시설명 등 기본사항 입력) 보고서1,2'!$I$15</x:f>
        <x:v>박정식</x:v>
      </x:c>
      <x:c r="C21" s="51" t="str">
        <x:f>시료인계서!$C$5</x:f>
        <x:v>평촌경영고등학교</x:v>
      </x:c>
      <x:c r="D21" s="500" t="s">
        <x:v>271</x:v>
      </x:c>
      <x:c r="E21" s="51" t="str">
        <x:f>시료인계서!$B$24</x:f>
        <x:v>낙하세균</x:v>
      </x:c>
      <x:c r="F21" s="51" t="str">
        <x:f>시료인계서!C24</x:f>
        <x:v>평촌경영고등학교</x:v>
      </x:c>
      <x:c r="G21" s="51" t="str">
        <x:f>시료인계서!G24</x:f>
        <x:v>NBA-2-</x:v>
      </x:c>
      <x:c r="H21" s="51"/>
    </x:row>
    <x:row r="22" spans="1:8">
      <x:c r="A22" s="74" t="str">
        <x:f>시료인계서!$C$4</x:f>
        <x:v>2026.06.10</x:v>
      </x:c>
      <x:c r="B22" s="500" t="str">
        <x:f>'입력1(학교시설명 등 기본사항 입력) 보고서1,2'!$I$15</x:f>
        <x:v>박정식</x:v>
      </x:c>
      <x:c r="C22" s="51" t="str">
        <x:f>시료인계서!$C$5</x:f>
        <x:v>평촌경영고등학교</x:v>
      </x:c>
      <x:c r="D22" s="500" t="s">
        <x:v>271</x:v>
      </x:c>
      <x:c r="E22" s="51" t="str">
        <x:f>시료인계서!$B$25</x:f>
        <x:v>낙하세균</x:v>
      </x:c>
      <x:c r="F22" s="51" t="str">
        <x:f>시료인계서!C25</x:f>
        <x:v>평촌경영고등학교</x:v>
      </x:c>
      <x:c r="G22" s="51" t="str">
        <x:f>시료인계서!G25</x:f>
        <x:v>NBA-3-</x:v>
      </x:c>
      <x:c r="H22" s="51"/>
    </x:row>
    <x:row r="23" spans="1:8">
      <x:c r="A23" s="74" t="str">
        <x:f>시료인계서!$C$4</x:f>
        <x:v>2026.06.10</x:v>
      </x:c>
      <x:c r="B23" s="500" t="str">
        <x:f>'입력1(학교시설명 등 기본사항 입력) 보고서1,2'!$I$15</x:f>
        <x:v>박정식</x:v>
      </x:c>
      <x:c r="C23" s="51" t="str">
        <x:f>시료인계서!$C$5</x:f>
        <x:v>평촌경영고등학교</x:v>
      </x:c>
      <x:c r="D23" s="500" t="s">
        <x:v>78</x:v>
      </x:c>
      <x:c r="E23" s="51" t="str">
        <x:f>시료인계서!$B$26</x:f>
        <x:v>낙하세균</x:v>
      </x:c>
      <x:c r="F23" s="51" t="str">
        <x:f>시료인계서!C26</x:f>
        <x:v>평촌경영고등학교</x:v>
      </x:c>
      <x:c r="G23" s="51" t="str">
        <x:f>시료인계서!G26</x:f>
        <x:v>NBA-4-</x:v>
      </x:c>
      <x:c r="H23" s="51"/>
    </x:row>
    <x:row r="24" spans="1:8">
      <x:c r="A24" s="74" t="str">
        <x:f>시료인계서!$C$4</x:f>
        <x:v>2026.06.10</x:v>
      </x:c>
      <x:c r="B24" s="500" t="str">
        <x:f>'입력1(학교시설명 등 기본사항 입력) 보고서1,2'!$I$15</x:f>
        <x:v>박정식</x:v>
      </x:c>
      <x:c r="C24" s="51" t="str">
        <x:f>시료인계서!$C$5</x:f>
        <x:v>평촌경영고등학교</x:v>
      </x:c>
      <x:c r="D24" s="500" t="s">
        <x:v>78</x:v>
      </x:c>
      <x:c r="E24" s="51" t="str">
        <x:f>시료인계서!$B$27</x:f>
        <x:v>낙하세균</x:v>
      </x:c>
      <x:c r="F24" s="51" t="str">
        <x:f>시료인계서!C27</x:f>
        <x:v>평촌경영고등학교</x:v>
      </x:c>
      <x:c r="G24" s="51" t="str">
        <x:f>시료인계서!G27</x:f>
        <x:v>NBA-5-</x:v>
      </x:c>
      <x:c r="H24" s="51"/>
    </x:row>
    <x:row r="25" spans="1:8">
      <x:c r="A25" s="74" t="str">
        <x:f>시료인계서!$C$4</x:f>
        <x:v>2026.06.10</x:v>
      </x:c>
      <x:c r="B25" s="500" t="str">
        <x:f>'입력1(학교시설명 등 기본사항 입력) 보고서1,2'!$I$15</x:f>
        <x:v>박정식</x:v>
      </x:c>
      <x:c r="C25" s="51" t="str">
        <x:f>시료인계서!$C$5</x:f>
        <x:v>평촌경영고등학교</x:v>
      </x:c>
      <x:c r="D25" s="500" t="s">
        <x:v>78</x:v>
      </x:c>
      <x:c r="E25" s="51" t="str">
        <x:f>시료인계서!$B$28</x:f>
        <x:v>낙하세균</x:v>
      </x:c>
      <x:c r="F25" s="51" t="str">
        <x:f>시료인계서!C28</x:f>
        <x:v>평촌경영고등학교</x:v>
      </x:c>
      <x:c r="G25" s="51" t="str">
        <x:f>시료인계서!G28</x:f>
        <x:v>NBA-6-</x:v>
      </x:c>
      <x:c r="H25" s="51"/>
    </x:row>
    <x:row r="26" spans="1:8">
      <x:c r="A26" s="74" t="str">
        <x:f>시료인계서!$C$4</x:f>
        <x:v>2026.06.10</x:v>
      </x:c>
      <x:c r="B26" s="500" t="str">
        <x:f>'입력1(학교시설명 등 기본사항 입력) 보고서1,2'!$I$15</x:f>
        <x:v>박정식</x:v>
      </x:c>
      <x:c r="C26" s="51" t="str">
        <x:f>시료인계서!$C$5</x:f>
        <x:v>평촌경영고등학교</x:v>
      </x:c>
      <x:c r="D26" s="500"/>
      <x:c r="E26" s="51">
        <x:f>시료인계서!$B$29</x:f>
        <x:v>0</x:v>
      </x:c>
      <x:c r="F26" s="51" t="str">
        <x:f>시료인계서!C29</x:f>
        <x:v>평촌경영고등학교</x:v>
      </x:c>
      <x:c r="G26" s="51" t="str">
        <x:f>시료인계서!G29</x:f>
        <x:v>--</x:v>
      </x:c>
      <x:c r="H26" s="51"/>
    </x:row>
    <x:row r="27" spans="1:8">
      <x:c r="A27" s="74" t="str">
        <x:f>시료인계서!$C$4</x:f>
        <x:v>2026.06.10</x:v>
      </x:c>
      <x:c r="B27" s="500" t="str">
        <x:f>'입력1(학교시설명 등 기본사항 입력) 보고서1,2'!$I$15</x:f>
        <x:v>박정식</x:v>
      </x:c>
      <x:c r="C27" s="51" t="str">
        <x:f>시료인계서!$C$5</x:f>
        <x:v>평촌경영고등학교</x:v>
      </x:c>
      <x:c r="D27" s="500"/>
      <x:c r="E27" s="51">
        <x:f>시료인계서!$B$32</x:f>
        <x:v>0</x:v>
      </x:c>
      <x:c r="F27" s="51" t="str">
        <x:f>시료인계서!C30</x:f>
        <x:v>평촌경영고등학교</x:v>
      </x:c>
      <x:c r="G27" s="51" t="str">
        <x:f>시료인계서!G30</x:f>
        <x:v>--</x:v>
      </x:c>
      <x:c r="H27" s="51"/>
    </x:row>
    <x:row r="28" spans="1:8">
      <x:c r="A28" s="74" t="str">
        <x:f>시료인계서!$C$4</x:f>
        <x:v>2026.06.10</x:v>
      </x:c>
      <x:c r="B28" s="500" t="str">
        <x:f>'입력1(학교시설명 등 기본사항 입력) 보고서1,2'!$I$15</x:f>
        <x:v>박정식</x:v>
      </x:c>
      <x:c r="C28" s="51" t="str">
        <x:f>시료인계서!$C$5</x:f>
        <x:v>평촌경영고등학교</x:v>
      </x:c>
      <x:c r="D28" s="500"/>
      <x:c r="E28" s="51">
        <x:f>시료인계서!$B$33</x:f>
        <x:v>0</x:v>
      </x:c>
      <x:c r="F28" s="51" t="str">
        <x:f>시료인계서!C31</x:f>
        <x:v>평촌경영고등학교</x:v>
      </x:c>
      <x:c r="G28" s="51" t="str">
        <x:f>시료인계서!G31</x:f>
        <x:v>--</x:v>
      </x:c>
      <x:c r="H28" s="51"/>
    </x:row>
    <x:row r="29" spans="1:8">
      <x:c r="A29" s="74" t="str">
        <x:f>시료인계서!$C$4</x:f>
        <x:v>2026.06.10</x:v>
      </x:c>
      <x:c r="B29" s="500" t="str">
        <x:f>'입력1(학교시설명 등 기본사항 입력) 보고서1,2'!$I$15</x:f>
        <x:v>박정식</x:v>
      </x:c>
      <x:c r="C29" s="51" t="str">
        <x:f>시료인계서!$C$5</x:f>
        <x:v>평촌경영고등학교</x:v>
      </x:c>
      <x:c r="D29" s="500"/>
      <x:c r="E29" s="523">
        <x:f>시료인계서!$B$34</x:f>
        <x:v>46183</x:v>
      </x:c>
      <x:c r="F29" s="51" t="str">
        <x:f>시료인계서!C32</x:f>
        <x:v>평촌경영고등학교</x:v>
      </x:c>
      <x:c r="G29" s="51" t="str">
        <x:f>시료인계서!G32</x:f>
        <x:v>--</x:v>
      </x:c>
      <x:c r="H29" s="51"/>
    </x:row>
    <x:row r="30" spans="1:8">
      <x:c r="A30" s="74" t="str">
        <x:f>시료인계서!$C$4</x:f>
        <x:v>2026.06.10</x:v>
      </x:c>
      <x:c r="B30" s="500" t="str">
        <x:f>'입력1(학교시설명 등 기본사항 입력) 보고서1,2'!$I$15</x:f>
        <x:v>박정식</x:v>
      </x:c>
      <x:c r="C30" s="51" t="str">
        <x:f>시료인계서!$C$5</x:f>
        <x:v>평촌경영고등학교</x:v>
      </x:c>
      <x:c r="D30" s="500"/>
      <x:c r="E30" s="51" t="str">
        <x:f>시료인계서!$B$35</x:f>
        <x:v>박정식</x:v>
      </x:c>
      <x:c r="F30" s="51" t="str">
        <x:f>시료인계서!C33</x:f>
        <x:v>평촌경영고등학교</x:v>
      </x:c>
      <x:c r="G30" s="51" t="str">
        <x:f>시료인계서!G33</x:f>
        <x:v>--</x:v>
      </x:c>
      <x:c r="H30" s="51"/>
    </x:row>
    <x:row r="31" spans="1:8">
      <x:c r="A31" s="51"/>
      <x:c r="B31" s="500"/>
      <x:c r="C31" s="51"/>
      <x:c r="D31" s="500"/>
      <x:c r="E31" s="51"/>
      <x:c r="F31" s="51"/>
      <x:c r="G31" s="51">
        <x:f>시료인계서!G34</x:f>
        <x:v>0</x:v>
      </x:c>
      <x:c r="H31" s="51"/>
    </x:row>
    <x:row r="32" spans="1:8">
      <x:c r="A32" s="51"/>
      <x:c r="B32" s="500"/>
      <x:c r="C32" s="51"/>
      <x:c r="D32" s="500"/>
      <x:c r="E32" s="51"/>
      <x:c r="F32" s="51"/>
      <x:c r="G32" s="51">
        <x:f>시료인계서!G35</x:f>
        <x:v>0</x:v>
      </x:c>
      <x:c r="H32" s="51"/>
    </x:row>
    <x:row r="33" spans="1:8">
      <x:c r="A33" s="51"/>
      <x:c r="B33" s="500"/>
      <x:c r="C33" s="51"/>
      <x:c r="D33" s="500"/>
      <x:c r="E33" s="51"/>
      <x:c r="F33" s="51"/>
      <x:c r="G33" s="51"/>
      <x:c r="H33" s="51"/>
    </x:row>
    <x:row r="34" spans="1:8">
      <x:c r="A34" s="51"/>
      <x:c r="B34" s="500"/>
      <x:c r="C34" s="51"/>
      <x:c r="D34" s="500"/>
      <x:c r="E34" s="51"/>
      <x:c r="F34" s="51"/>
      <x:c r="G34" s="51"/>
      <x:c r="H34" s="51"/>
    </x:row>
    <x:row r="35" spans="1:8">
      <x:c r="A35" s="51"/>
      <x:c r="B35" s="500"/>
      <x:c r="C35" s="51"/>
      <x:c r="D35" s="500"/>
      <x:c r="E35" s="51"/>
      <x:c r="F35" s="51"/>
      <x:c r="G35" s="51"/>
      <x:c r="H35" s="51"/>
    </x:row>
    <x:row r="36" spans="1:8">
      <x:c r="A36" s="51"/>
      <x:c r="B36" s="500"/>
      <x:c r="C36" s="51"/>
      <x:c r="D36" s="500"/>
      <x:c r="E36" s="51"/>
      <x:c r="F36" s="51"/>
      <x:c r="G36" s="51"/>
      <x:c r="H36" s="51"/>
    </x:row>
    <x:row r="37" spans="1:8">
      <x:c r="A37" s="51"/>
      <x:c r="B37" s="500"/>
      <x:c r="C37" s="51"/>
      <x:c r="D37" s="500"/>
      <x:c r="E37" s="51"/>
      <x:c r="F37" s="51"/>
      <x:c r="G37" s="51"/>
      <x:c r="H37" s="51"/>
    </x:row>
    <x:row r="38" spans="1:8">
      <x:c r="A38" s="51"/>
      <x:c r="B38" s="500"/>
      <x:c r="C38" s="51"/>
      <x:c r="D38" s="500"/>
      <x:c r="E38" s="51"/>
      <x:c r="F38" s="51"/>
      <x:c r="G38" s="51"/>
      <x:c r="H38" s="51"/>
    </x:row>
    <x:row r="39" spans="1:8">
      <x:c r="A39" s="51"/>
      <x:c r="B39" s="500"/>
      <x:c r="C39" s="51"/>
      <x:c r="D39" s="500"/>
      <x:c r="E39" s="51"/>
      <x:c r="F39" s="51"/>
      <x:c r="G39" s="51"/>
      <x:c r="H39" s="51"/>
    </x:row>
    <x:row r="40" spans="1:8">
      <x:c r="A40" s="51"/>
      <x:c r="B40" s="500"/>
      <x:c r="C40" s="51"/>
      <x:c r="D40" s="500"/>
      <x:c r="E40" s="51"/>
      <x:c r="F40" s="51"/>
      <x:c r="G40" s="51"/>
      <x:c r="H40" s="51"/>
    </x:row>
    <x:row r="41" spans="1:8">
      <x:c r="A41" s="51"/>
      <x:c r="B41" s="500"/>
      <x:c r="C41" s="51"/>
      <x:c r="D41" s="500"/>
      <x:c r="E41" s="51"/>
      <x:c r="F41" s="51"/>
      <x:c r="G41" s="51"/>
      <x:c r="H41" s="51"/>
    </x:row>
    <x:row r="42" spans="1:8">
      <x:c r="A42" s="51"/>
      <x:c r="B42" s="500"/>
      <x:c r="C42" s="51"/>
      <x:c r="D42" s="500"/>
      <x:c r="E42" s="51"/>
      <x:c r="F42" s="51"/>
      <x:c r="G42" s="51"/>
      <x:c r="H42" s="51"/>
    </x:row>
    <x:row r="43" spans="1:8">
      <x:c r="A43" s="51"/>
      <x:c r="B43" s="500"/>
      <x:c r="C43" s="51"/>
      <x:c r="D43" s="500"/>
      <x:c r="E43" s="51"/>
      <x:c r="F43" s="51"/>
      <x:c r="G43" s="51"/>
      <x:c r="H43" s="51"/>
    </x:row>
    <x:row r="44" spans="1:8">
      <x:c r="A44" s="51"/>
      <x:c r="B44" s="500"/>
      <x:c r="C44" s="51"/>
      <x:c r="D44" s="500"/>
      <x:c r="E44" s="51"/>
      <x:c r="F44" s="51"/>
      <x:c r="G44" s="51"/>
      <x:c r="H44" s="51"/>
    </x:row>
    <x:row r="45" spans="1:8">
      <x:c r="A45" s="51"/>
      <x:c r="B45" s="500"/>
      <x:c r="C45" s="51"/>
      <x:c r="D45" s="500"/>
      <x:c r="E45" s="51"/>
      <x:c r="F45" s="51"/>
      <x:c r="G45" s="51"/>
      <x:c r="H45" s="51"/>
    </x:row>
    <x:row r="46" spans="1:8">
      <x:c r="A46" s="51"/>
      <x:c r="B46" s="500"/>
      <x:c r="C46" s="51"/>
      <x:c r="D46" s="500"/>
      <x:c r="E46" s="51"/>
      <x:c r="F46" s="51"/>
      <x:c r="G46" s="51"/>
      <x:c r="H46" s="51"/>
    </x:row>
    <x:row r="47" spans="1:8">
      <x:c r="A47" s="51"/>
      <x:c r="B47" s="500"/>
      <x:c r="C47" s="51"/>
      <x:c r="D47" s="500"/>
      <x:c r="E47" s="51"/>
      <x:c r="F47" s="51"/>
      <x:c r="G47" s="51"/>
      <x:c r="H47" s="51"/>
    </x:row>
    <x:row r="48" spans="1:8">
      <x:c r="A48" s="51"/>
      <x:c r="B48" s="500"/>
      <x:c r="C48" s="51"/>
      <x:c r="D48" s="500"/>
      <x:c r="E48" s="51"/>
      <x:c r="F48" s="51"/>
      <x:c r="G48" s="51"/>
      <x:c r="H48" s="51"/>
    </x:row>
    <x:row r="49" spans="1:8">
      <x:c r="A49" s="51"/>
      <x:c r="B49" s="500"/>
      <x:c r="C49" s="51"/>
      <x:c r="D49" s="500"/>
      <x:c r="E49" s="51"/>
      <x:c r="F49" s="51"/>
      <x:c r="G49" s="51"/>
      <x:c r="H49" s="51"/>
    </x:row>
    <x:row r="50" spans="1:8">
      <x:c r="A50" s="51"/>
      <x:c r="B50" s="500"/>
      <x:c r="C50" s="51"/>
      <x:c r="D50" s="500"/>
      <x:c r="E50" s="51"/>
      <x:c r="F50" s="51"/>
      <x:c r="G50" s="51"/>
      <x:c r="H50" s="51"/>
    </x:row>
  </x:sheetData>
  <x:mergeCells count="8">
    <x:mergeCell ref="A1:H1"/>
    <x:mergeCell ref="A3:A4"/>
    <x:mergeCell ref="B3:B4"/>
    <x:mergeCell ref="C3:C4"/>
    <x:mergeCell ref="D3:D4"/>
    <x:mergeCell ref="E3:E4"/>
    <x:mergeCell ref="F3:G3"/>
    <x:mergeCell ref="H3:H4"/>
  </x:mergeCells>
  <x:dataValidations count="2">
    <x:dataValidation type="list" operator="equal" allowBlank="1" showInputMessage="1" showErrorMessage="1" sqref="B5:B30">
      <x:formula1>'드롭다운 메뉴_지우지말것!'!$G$2:$G$4</x:formula1>
    </x:dataValidation>
    <x:dataValidation type="list" operator="equal" allowBlank="1" showInputMessage="1" showErrorMessage="1" sqref="E31:E50">
      <x:formula1>'드롭다운 메뉴_지우지말것!'!$D$2:$D$9</x:formula1>
    </x:dataValidation>
  </x:dataValidations>
  <x:pageMargins left="0.74805557727813721" right="0.74805557727813721" top="0.98430556058883667" bottom="0.98430556058883667" header="0.51138889789581299" footer="0.51138889789581299"/>
  <x:pageSetup paperSize="9" scale="90" firstPageNumber="1" fitToWidth="0" fitToHeight="0" orientation="portrait" usePrinterDefaults="1" blackAndWhite="0" draft="0" useFirstPageNumber="0" horizontalDpi="600" verticalDpi="600" copies="1"/>
  <x:rowBreaks count="1" manualBreakCount="1">
    <x:brk id="47" min="0" max="1048575" man="1" pt="0"/>
  </x:rowBreaks>
  <x:colBreaks count="1" manualBreakCount="1">
    <x:brk id="8" min="0" max="16383" man="1" pt="0"/>
  </x:colBreaks>
</x:worksheet>
</file>

<file path=xl/worksheets/sheet8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8"/>
  <x:dimension ref="A1:O20"/>
  <x:sheetViews>
    <x:sheetView view="pageBreakPreview" topLeftCell="G1" zoomScaleNormal="100" zoomScaleSheetLayoutView="100" workbookViewId="0">
      <x:selection activeCell="C26" activeCellId="0" sqref="C26:F26"/>
    </x:sheetView>
  </x:sheetViews>
  <x:sheetFormatPr defaultColWidth="9" defaultRowHeight="17.399999999999999"/>
  <x:cols>
    <x:col min="1" max="1" width="6.8984375" style="1" customWidth="1"/>
    <x:col min="3" max="3" width="12.09765625" style="52" customWidth="1"/>
    <x:col min="4" max="4" width="12.69921875" style="1" customWidth="1"/>
    <x:col min="5" max="5" width="15.59765625" style="1" customWidth="1"/>
    <x:col min="6" max="6" width="18.3984375" style="1" customWidth="1"/>
    <x:col min="7" max="7" width="11.69921875" style="1" customWidth="1"/>
    <x:col min="8" max="8" width="11.3984375" style="1" customWidth="1"/>
    <x:col min="9" max="10" width="9" style="48" bestFit="1" customWidth="1"/>
    <x:col min="11" max="11" width="13.3984375" style="48" customWidth="1"/>
    <x:col min="12" max="12" width="15.69921875" style="48" customWidth="1"/>
    <x:col min="13" max="13" width="13.3984375" style="48" customWidth="1"/>
    <x:col min="14" max="14" width="14.5" style="48" customWidth="1"/>
  </x:cols>
  <x:sheetData>
    <x:row r="1" spans="1:13" ht="30.75" customHeight="1">
      <x:c r="A1" s="932" t="s">
        <x:v>105</x:v>
      </x:c>
      <x:c r="B1" s="932"/>
      <x:c r="C1" s="932"/>
      <x:c r="D1" s="932"/>
      <x:c r="E1" s="932"/>
      <x:c r="F1" s="932"/>
      <x:c r="G1" s="932"/>
      <x:c r="H1" s="932"/>
      <x:c r="I1" s="932"/>
      <x:c r="J1" s="932"/>
      <x:c r="K1" s="932"/>
      <x:c r="L1" s="932"/>
      <x:c r="M1" s="932"/>
    </x:row>
    <x:row r="2" spans="1:15">
      <x:c r="A2" s="933" t="s">
        <x:v>243</x:v>
      </x:c>
      <x:c r="B2" s="933" t="s">
        <x:v>283</x:v>
      </x:c>
      <x:c r="C2" s="934" t="s">
        <x:v>212</x:v>
      </x:c>
      <x:c r="D2" s="933" t="s">
        <x:v>229</x:v>
      </x:c>
      <x:c r="E2" s="933" t="s">
        <x:v>32</x:v>
      </x:c>
      <x:c r="F2" s="933" t="s">
        <x:v>17</x:v>
      </x:c>
      <x:c r="G2" s="935" t="s">
        <x:v>16</x:v>
      </x:c>
      <x:c r="H2" s="933" t="s">
        <x:v>48</x:v>
      </x:c>
      <x:c r="I2" s="933" t="s">
        <x:v>383</x:v>
      </x:c>
      <x:c r="J2" s="933"/>
      <x:c r="K2" s="937" t="s">
        <x:v>370</x:v>
      </x:c>
      <x:c r="L2" s="937" t="s">
        <x:v>465</x:v>
      </x:c>
      <x:c r="M2" s="933" t="s">
        <x:v>456</x:v>
      </x:c>
      <x:c r="N2" s="928" t="s">
        <x:v>335</x:v>
      </x:c>
      <x:c r="O2" s="896"/>
    </x:row>
    <x:row r="3" spans="1:15">
      <x:c r="A3" s="933"/>
      <x:c r="B3" s="933"/>
      <x:c r="C3" s="934"/>
      <x:c r="D3" s="933"/>
      <x:c r="E3" s="933"/>
      <x:c r="F3" s="933"/>
      <x:c r="G3" s="936"/>
      <x:c r="H3" s="933"/>
      <x:c r="I3" s="50" t="s">
        <x:v>117</x:v>
      </x:c>
      <x:c r="J3" s="50" t="s">
        <x:v>123</x:v>
      </x:c>
      <x:c r="K3" s="937"/>
      <x:c r="L3" s="937"/>
      <x:c r="M3" s="933"/>
      <x:c r="N3" s="587"/>
      <x:c r="O3" s="896"/>
    </x:row>
    <x:row r="4" spans="1:14" hidden="1">
      <x:c r="A4" s="2">
        <x:v>1</x:v>
      </x:c>
      <x:c r="B4" s="2"/>
      <x:c r="C4" s="53"/>
      <x:c r="D4" s="2"/>
      <x:c r="E4" s="2"/>
      <x:c r="F4" s="2" t="s">
        <x:v>165</x:v>
      </x:c>
      <x:c r="G4" s="2"/>
      <x:c r="H4" s="2"/>
      <x:c r="I4" s="38"/>
      <x:c r="J4" s="38"/>
      <x:c r="K4" s="68" t="e">
        <x:f>AVERAGE(I4:J4)</x:f>
        <x:v>#DIV/0!</x:v>
      </x:c>
      <x:c r="L4" s="38"/>
      <x:c r="M4" s="38" t="e">
        <x:f>K4*L4</x:f>
        <x:v>#DIV/0!</x:v>
      </x:c>
      <x:c r="N4" s="38"/>
    </x:row>
    <x:row r="5" spans="1:14" hidden="1">
      <x:c r="A5" s="2">
        <x:v>2</x:v>
      </x:c>
      <x:c r="B5" s="2"/>
      <x:c r="C5" s="53"/>
      <x:c r="D5" s="2"/>
      <x:c r="E5" s="2"/>
      <x:c r="F5" s="2" t="s">
        <x:v>165</x:v>
      </x:c>
      <x:c r="G5" s="2"/>
      <x:c r="H5" s="2"/>
      <x:c r="I5" s="38"/>
      <x:c r="J5" s="38"/>
      <x:c r="K5" s="68" t="e">
        <x:f t="shared" ref="K5:K13" si="0">AVERAGE(I5:J5)</x:f>
        <x:v>#DIV/0!</x:v>
      </x:c>
      <x:c r="L5" s="38"/>
      <x:c r="M5" s="38" t="e">
        <x:f t="shared" ref="M5:M7" si="1">K5*L5</x:f>
        <x:v>#DIV/0!</x:v>
      </x:c>
      <x:c r="N5" s="38"/>
    </x:row>
    <x:row r="6" spans="1:14" hidden="1">
      <x:c r="A6" s="2">
        <x:v>3</x:v>
      </x:c>
      <x:c r="B6" s="2"/>
      <x:c r="C6" s="53"/>
      <x:c r="D6" s="2"/>
      <x:c r="E6" s="2"/>
      <x:c r="F6" s="2" t="s">
        <x:v>460</x:v>
      </x:c>
      <x:c r="G6" s="2"/>
      <x:c r="H6" s="2"/>
      <x:c r="I6" s="38"/>
      <x:c r="J6" s="38"/>
      <x:c r="K6" s="68" t="e">
        <x:f t="shared" si="0"/>
        <x:v>#DIV/0!</x:v>
      </x:c>
      <x:c r="L6" s="38"/>
      <x:c r="M6" s="38" t="e">
        <x:f t="shared" si="1"/>
        <x:v>#DIV/0!</x:v>
      </x:c>
      <x:c r="N6" s="38"/>
    </x:row>
    <x:row r="7" spans="1:14" hidden="1">
      <x:c r="A7" s="2">
        <x:v>4</x:v>
      </x:c>
      <x:c r="B7" s="2"/>
      <x:c r="C7" s="53"/>
      <x:c r="D7" s="2"/>
      <x:c r="E7" s="2"/>
      <x:c r="F7" s="2" t="s">
        <x:v>460</x:v>
      </x:c>
      <x:c r="G7" s="2"/>
      <x:c r="H7" s="2"/>
      <x:c r="I7" s="38"/>
      <x:c r="J7" s="38"/>
      <x:c r="K7" s="68" t="e">
        <x:f t="shared" si="0"/>
        <x:v>#DIV/0!</x:v>
      </x:c>
      <x:c r="L7" s="38"/>
      <x:c r="M7" s="38" t="e">
        <x:f t="shared" si="1"/>
        <x:v>#DIV/0!</x:v>
      </x:c>
      <x:c r="N7" s="38"/>
    </x:row>
    <x:row r="8" spans="1:14">
      <x:c r="A8" s="2">
        <x:v>5</x:v>
      </x:c>
      <x:c r="B8" s="2"/>
      <x:c r="C8" s="53"/>
      <x:c r="D8" s="2"/>
      <x:c r="E8" s="2"/>
      <x:c r="F8" s="2" t="s">
        <x:v>35</x:v>
      </x:c>
      <x:c r="G8" s="2"/>
      <x:c r="H8" s="2"/>
      <x:c r="I8" s="38">
        <x:v>100</x:v>
      </x:c>
      <x:c r="J8" s="38">
        <x:v>100</x:v>
      </x:c>
      <x:c r="K8" s="68">
        <x:f>AVERAGE(I8:J8)</x:f>
        <x:v>100</x:v>
      </x:c>
      <x:c r="L8" s="38">
        <x:v>1</x:v>
      </x:c>
      <x:c r="M8" s="38">
        <x:f>K8*L8/1000</x:f>
        <x:v>0.10000000000000001</x:v>
      </x:c>
      <x:c r="N8" s="38">
        <x:f>M8*(298/(273+'입력2(측정)'!T5)*('입력2(측정)'!M5/1013))</x:f>
        <x:v>0.098945533855523085</x:v>
      </x:c>
    </x:row>
    <x:row r="9" spans="1:14">
      <x:c r="A9" s="2">
        <x:v>6</x:v>
      </x:c>
      <x:c r="B9" s="2"/>
      <x:c r="C9" s="53"/>
      <x:c r="D9" s="2"/>
      <x:c r="E9" s="2"/>
      <x:c r="F9" s="2" t="s">
        <x:v>35</x:v>
      </x:c>
      <x:c r="G9" s="2"/>
      <x:c r="H9" s="2"/>
      <x:c r="I9" s="38">
        <x:v>100</x:v>
      </x:c>
      <x:c r="J9" s="38">
        <x:v>100</x:v>
      </x:c>
      <x:c r="K9" s="68">
        <x:f t="shared" si="0"/>
        <x:v>100</x:v>
      </x:c>
      <x:c r="L9" s="38">
        <x:v>1</x:v>
      </x:c>
      <x:c r="M9" s="38">
        <x:f t="shared" ref="M9:M13" si="2">K9*L9/1000</x:f>
        <x:v>0.10000000000000001</x:v>
      </x:c>
      <x:c r="N9" s="38">
        <x:f>M9*(298/(273+'입력2(측정)'!T6)*('입력2(측정)'!M6/1013))</x:f>
        <x:v>0.099107907169891041</x:v>
      </x:c>
    </x:row>
    <x:row r="10" spans="1:14">
      <x:c r="A10" s="2">
        <x:v>7</x:v>
      </x:c>
      <x:c r="B10" s="2"/>
      <x:c r="C10" s="53"/>
      <x:c r="D10" s="2"/>
      <x:c r="E10" s="2"/>
      <x:c r="F10" s="2" t="s">
        <x:v>35</x:v>
      </x:c>
      <x:c r="G10" s="2"/>
      <x:c r="H10" s="2"/>
      <x:c r="I10" s="38">
        <x:v>100</x:v>
      </x:c>
      <x:c r="J10" s="38">
        <x:v>100</x:v>
      </x:c>
      <x:c r="K10" s="68">
        <x:f t="shared" si="0"/>
        <x:v>100</x:v>
      </x:c>
      <x:c r="L10" s="38">
        <x:v>1</x:v>
      </x:c>
      <x:c r="M10" s="38">
        <x:f t="shared" si="2"/>
        <x:v>0.10000000000000001</x:v>
      </x:c>
      <x:c r="N10" s="38">
        <x:f>M10*(298/(273+'입력2(측정)'!T7)*('입력2(측정)'!M7/1013))</x:f>
        <x:v>0.098996266566327096</x:v>
      </x:c>
    </x:row>
    <x:row r="11" spans="1:14">
      <x:c r="A11" s="2">
        <x:v>8</x:v>
      </x:c>
      <x:c r="B11" s="2"/>
      <x:c r="C11" s="53"/>
      <x:c r="D11" s="2"/>
      <x:c r="E11" s="2"/>
      <x:c r="F11" s="2" t="s">
        <x:v>35</x:v>
      </x:c>
      <x:c r="G11" s="2"/>
      <x:c r="H11" s="2"/>
      <x:c r="I11" s="38">
        <x:v>100</x:v>
      </x:c>
      <x:c r="J11" s="38">
        <x:v>100</x:v>
      </x:c>
      <x:c r="K11" s="68">
        <x:f t="shared" si="0"/>
        <x:v>100</x:v>
      </x:c>
      <x:c r="L11" s="38">
        <x:v>1</x:v>
      </x:c>
      <x:c r="M11" s="38">
        <x:f t="shared" si="2"/>
        <x:v>0.10000000000000001</x:v>
      </x:c>
      <x:c r="N11" s="38" t="e">
        <x:f>M11*(298/(273+'입력2(측정)'!T8)*('입력2(측정)'!M8/1013))</x:f>
        <x:v>#DIV/0!</x:v>
      </x:c>
    </x:row>
    <x:row r="12" spans="1:14">
      <x:c r="A12" s="2">
        <x:v>9</x:v>
      </x:c>
      <x:c r="B12" s="2"/>
      <x:c r="C12" s="53"/>
      <x:c r="D12" s="2"/>
      <x:c r="E12" s="2"/>
      <x:c r="F12" s="2"/>
      <x:c r="G12" s="2"/>
      <x:c r="H12" s="2"/>
      <x:c r="I12" s="38">
        <x:v>100</x:v>
      </x:c>
      <x:c r="J12" s="38">
        <x:v>100</x:v>
      </x:c>
      <x:c r="K12" s="68">
        <x:f t="shared" si="0"/>
        <x:v>100</x:v>
      </x:c>
      <x:c r="L12" s="38">
        <x:v>1</x:v>
      </x:c>
      <x:c r="M12" s="38">
        <x:f t="shared" si="2"/>
        <x:v>0.10000000000000001</x:v>
      </x:c>
      <x:c r="N12" s="38">
        <x:f>M12*(298/(273+'입력2(측정)'!T9)*('입력2(측정)'!M9/1013))</x:f>
        <x:v>0.098729533421989438</x:v>
      </x:c>
    </x:row>
    <x:row r="13" spans="1:14">
      <x:c r="A13" s="2">
        <x:v>10</x:v>
      </x:c>
      <x:c r="B13" s="2"/>
      <x:c r="C13" s="53"/>
      <x:c r="D13" s="2"/>
      <x:c r="E13" s="2"/>
      <x:c r="F13" s="2"/>
      <x:c r="G13" s="2"/>
      <x:c r="H13" s="2"/>
      <x:c r="I13" s="38">
        <x:v>100</x:v>
      </x:c>
      <x:c r="J13" s="38">
        <x:v>100</x:v>
      </x:c>
      <x:c r="K13" s="68">
        <x:f t="shared" si="0"/>
        <x:v>100</x:v>
      </x:c>
      <x:c r="L13" s="38">
        <x:v>1</x:v>
      </x:c>
      <x:c r="M13" s="38">
        <x:f t="shared" si="2"/>
        <x:v>0.10000000000000001</x:v>
      </x:c>
      <x:c r="N13" s="38">
        <x:f>M13*(298/(273+'입력2(측정)'!T10)*('입력2(측정)'!M10/1013))</x:f>
        <x:v>0.099116710643669836</x:v>
      </x:c>
    </x:row>
    <x:row r="14" spans="7:14">
      <x:c r="G14" s="929" t="s">
        <x:v>379</x:v>
      </x:c>
      <x:c r="H14" s="930"/>
      <x:c r="I14" s="930"/>
      <x:c r="J14" s="930"/>
      <x:c r="K14" s="930"/>
      <x:c r="L14" s="930"/>
      <x:c r="M14" s="930"/>
      <x:c r="N14" s="931"/>
    </x:row>
    <x:row r="15" spans="7:14">
      <x:c r="G15" s="2"/>
      <x:c r="H15" s="2"/>
      <x:c r="I15" s="321">
        <x:f>'입력2(측정)'!N57</x:f>
        <x:v>0</x:v>
      </x:c>
      <x:c r="J15" s="321">
        <x:f>'입력2(측정)'!P57</x:f>
        <x:v>0</x:v>
      </x:c>
      <x:c r="K15" s="322">
        <x:f>AVERAGE(I15:J15)</x:f>
        <x:v>0</x:v>
      </x:c>
      <x:c r="L15" s="38">
        <x:v>120</x:v>
      </x:c>
      <x:c r="M15" s="38">
        <x:f>L15*K15</x:f>
        <x:v>0</x:v>
      </x:c>
      <x:c r="N15" s="38">
        <x:f>M15*(298/(273+'입력2(측정)'!H57)*('입력2(측정)'!L57/1013))</x:f>
        <x:v>0</x:v>
      </x:c>
    </x:row>
    <x:row r="16" spans="7:14">
      <x:c r="G16" s="2"/>
      <x:c r="H16" s="2"/>
      <x:c r="I16" s="321">
        <x:f>'입력2(측정)'!N58</x:f>
        <x:v>0</x:v>
      </x:c>
      <x:c r="J16" s="321">
        <x:f>'입력2(측정)'!P58</x:f>
        <x:v>0</x:v>
      </x:c>
      <x:c r="K16" s="322">
        <x:f t="shared" ref="K16:K20" si="3">AVERAGE(I16:J16)</x:f>
        <x:v>0</x:v>
      </x:c>
      <x:c r="L16" s="38">
        <x:v>120</x:v>
      </x:c>
      <x:c r="M16" s="38">
        <x:f t="shared" ref="M16:M20" si="4">L16*K16</x:f>
        <x:v>0</x:v>
      </x:c>
      <x:c r="N16" s="38">
        <x:f>M16*(298/(273+'입력2(측정)'!H58)*('입력2(측정)'!L58/1013))</x:f>
        <x:v>0</x:v>
      </x:c>
    </x:row>
    <x:row r="17" spans="7:14">
      <x:c r="G17" s="2"/>
      <x:c r="H17" s="2"/>
      <x:c r="I17" s="321">
        <x:f>'입력2(측정)'!N59</x:f>
        <x:v>0</x:v>
      </x:c>
      <x:c r="J17" s="321">
        <x:f>'입력2(측정)'!P59</x:f>
        <x:v>0</x:v>
      </x:c>
      <x:c r="K17" s="322">
        <x:f t="shared" si="3"/>
        <x:v>0</x:v>
      </x:c>
      <x:c r="L17" s="38">
        <x:v>120</x:v>
      </x:c>
      <x:c r="M17" s="38">
        <x:f t="shared" si="4"/>
        <x:v>0</x:v>
      </x:c>
      <x:c r="N17" s="38">
        <x:f>M17*(298/(273+'입력2(측정)'!H59)*('입력2(측정)'!L59/1013))</x:f>
        <x:v>0</x:v>
      </x:c>
    </x:row>
    <x:row r="18" spans="7:14">
      <x:c r="G18" s="2"/>
      <x:c r="H18" s="2"/>
      <x:c r="I18" s="321">
        <x:f>'입력2(측정)'!N60</x:f>
        <x:v>0</x:v>
      </x:c>
      <x:c r="J18" s="321">
        <x:f>'입력2(측정)'!P60</x:f>
        <x:v>0</x:v>
      </x:c>
      <x:c r="K18" s="322">
        <x:f t="shared" si="3"/>
        <x:v>0</x:v>
      </x:c>
      <x:c r="L18" s="38">
        <x:v>120</x:v>
      </x:c>
      <x:c r="M18" s="38">
        <x:f t="shared" si="4"/>
        <x:v>0</x:v>
      </x:c>
      <x:c r="N18" s="38">
        <x:f>M18*(298/(273+'입력2(측정)'!H60)*('입력2(측정)'!L60/1013))</x:f>
        <x:v>0</x:v>
      </x:c>
    </x:row>
    <x:row r="19" spans="7:14">
      <x:c r="G19" s="2"/>
      <x:c r="H19" s="2"/>
      <x:c r="I19" s="321">
        <x:f>'입력2(측정)'!N61</x:f>
        <x:v>0</x:v>
      </x:c>
      <x:c r="J19" s="321">
        <x:f>'입력2(측정)'!P61</x:f>
        <x:v>0</x:v>
      </x:c>
      <x:c r="K19" s="322">
        <x:f t="shared" si="3"/>
        <x:v>0</x:v>
      </x:c>
      <x:c r="L19" s="38">
        <x:v>120</x:v>
      </x:c>
      <x:c r="M19" s="38">
        <x:f t="shared" si="4"/>
        <x:v>0</x:v>
      </x:c>
      <x:c r="N19" s="38">
        <x:f>M19*(298/(273+'입력2(측정)'!H61)*('입력2(측정)'!L61/1013))</x:f>
        <x:v>0</x:v>
      </x:c>
    </x:row>
    <x:row r="20" spans="7:14">
      <x:c r="G20" s="2"/>
      <x:c r="H20" s="2"/>
      <x:c r="I20" s="321">
        <x:f>'입력2(측정)'!N62</x:f>
        <x:v>0</x:v>
      </x:c>
      <x:c r="J20" s="321">
        <x:f>'입력2(측정)'!P62</x:f>
        <x:v>0</x:v>
      </x:c>
      <x:c r="K20" s="322">
        <x:f t="shared" si="3"/>
        <x:v>0</x:v>
      </x:c>
      <x:c r="L20" s="38">
        <x:v>120</x:v>
      </x:c>
      <x:c r="M20" s="38">
        <x:f t="shared" si="4"/>
        <x:v>0</x:v>
      </x:c>
      <x:c r="N20" s="38">
        <x:f>M20*(298/(273+'입력2(측정)'!H62)*('입력2(측정)'!L62/1013))</x:f>
        <x:v>0</x:v>
      </x:c>
    </x:row>
  </x:sheetData>
  <x:mergeCells count="16">
    <x:mergeCell ref="N2:N3"/>
    <x:mergeCell ref="O2:O3"/>
    <x:mergeCell ref="G14:N14"/>
    <x:mergeCell ref="A1:M1"/>
    <x:mergeCell ref="A2:A3"/>
    <x:mergeCell ref="B2:B3"/>
    <x:mergeCell ref="C2:C3"/>
    <x:mergeCell ref="D2:D3"/>
    <x:mergeCell ref="E2:E3"/>
    <x:mergeCell ref="F2:F3"/>
    <x:mergeCell ref="G2:G3"/>
    <x:mergeCell ref="H2:H3"/>
    <x:mergeCell ref="I2:J2"/>
    <x:mergeCell ref="K2:K3"/>
    <x:mergeCell ref="L2:L3"/>
    <x:mergeCell ref="M2:M3"/>
  </x:mergeCells>
  <x:dataValidations count="2">
    <x:dataValidation type="list" operator="equal" allowBlank="1" showInputMessage="1" showErrorMessage="1" sqref="B4:B4">
      <x:formula1>'드롭다운 메뉴_지우지말것!'!$G$2:$G$4</x:formula1>
    </x:dataValidation>
    <x:dataValidation type="list" operator="equal" allowBlank="1" showInputMessage="1" showErrorMessage="1" sqref="F4:F13">
      <x:formula1>'드롭다운 메뉴_지우지말것!'!$H$2:$H$7</x:formula1>
    </x:dataValidation>
  </x:dataValidations>
  <x:pageMargins left="0.74805557727813721" right="0.74805557727813721" top="0.98430556058883667" bottom="0.98430556058883667" header="0.51138889789581299" footer="0.51138889789581299"/>
  <x:pageSetup paperSize="9" scale="44" firstPageNumber="1" fitToWidth="0" fitToHeight="0" orientation="portrait" usePrinterDefaults="1" blackAndWhite="0" draft="0" useFirstPageNumber="0" horizontalDpi="600" verticalDpi="600" copies="1"/>
  <x:rowBreaks count="1" manualBreakCount="1">
    <x:brk id="20" min="0" max="1048575" man="1" pt="0"/>
  </x:rowBreaks>
  <x:colBreaks count="1" manualBreakCount="1">
    <x:brk id="14" min="0" max="16383" man="1" pt="0"/>
  </x:colBreaks>
  <x:drawing r:id="rId1"/>
</x:worksheet>
</file>

<file path=xl/worksheets/sheet9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4"/>
  <x:dimension ref="A1:Z45"/>
  <x:sheetViews>
    <x:sheetView view="pageBreakPreview" topLeftCell="A25" zoomScaleNormal="100" zoomScaleSheetLayoutView="100" workbookViewId="0">
      <x:selection activeCell="K20" activeCellId="0" sqref="K20:N20"/>
    </x:sheetView>
  </x:sheetViews>
  <x:sheetFormatPr defaultColWidth="9" defaultRowHeight="17.399999999999999"/>
  <x:cols>
    <x:col min="1" max="1" width="9" style="1" bestFit="1" customWidth="1"/>
    <x:col min="2" max="2" width="11.8984375" style="1" customWidth="1"/>
    <x:col min="3" max="22" width="3.3984375" style="1" customWidth="1"/>
    <x:col min="23" max="26" width="5" style="1" customWidth="1"/>
  </x:cols>
  <x:sheetData>
    <x:row r="1" spans="1:26" ht="20.399999999999999">
      <x:c r="A1" s="938" t="s">
        <x:v>416</x:v>
      </x:c>
      <x:c r="B1" s="938"/>
      <x:c r="C1" s="938"/>
      <x:c r="D1" s="938"/>
      <x:c r="E1" s="938"/>
      <x:c r="F1" s="938"/>
      <x:c r="G1" s="938"/>
      <x:c r="H1" s="938"/>
      <x:c r="I1" s="938"/>
      <x:c r="J1" s="938"/>
      <x:c r="K1" s="938"/>
      <x:c r="L1" s="938"/>
      <x:c r="M1" s="938"/>
      <x:c r="N1" s="938"/>
      <x:c r="O1" s="939"/>
      <x:c r="P1" s="939"/>
      <x:c r="Q1" s="939"/>
      <x:c r="R1" s="939"/>
      <x:c r="W1" s="940" t="s">
        <x:v>12</x:v>
      </x:c>
      <x:c r="X1" s="941"/>
      <x:c r="Y1" s="940" t="s">
        <x:v>26</x:v>
      </x:c>
      <x:c r="Z1" s="941"/>
    </x:row>
    <x:row r="2" spans="1:26" ht="27" customHeight="1">
      <x:c r="A2" s="942" t="s">
        <x:v>314</x:v>
      </x:c>
      <x:c r="B2" s="942"/>
      <x:c r="C2" s="942"/>
      <x:c r="D2" s="4"/>
      <x:c r="E2" s="4"/>
      <x:c r="F2" s="4"/>
      <x:c r="G2" s="4"/>
      <x:c r="H2" s="4"/>
      <x:c r="I2" s="4"/>
      <x:c r="J2" s="4"/>
      <x:c r="K2" s="4"/>
      <x:c r="L2" s="4"/>
      <x:c r="M2" s="4"/>
      <x:c r="N2" s="4"/>
      <x:c r="O2" s="943"/>
      <x:c r="P2" s="943"/>
      <x:c r="Q2" s="943"/>
      <x:c r="R2" s="943"/>
      <x:c r="W2" s="944"/>
      <x:c r="X2" s="945"/>
      <x:c r="Y2" s="944"/>
      <x:c r="Z2" s="945"/>
    </x:row>
    <x:row r="3" spans="1:26" ht="16.649999999999999" customHeight="1">
      <x:c r="A3" s="946" t="s">
        <x:v>29</x:v>
      </x:c>
      <x:c r="B3" s="947"/>
      <x:c r="C3" s="948" t="str">
        <x:f>'입력1(학교시설명 등 기본사항 입력) 보고서1,2'!C2</x:f>
        <x:v>평촌경영고등학교</x:v>
      </x:c>
      <x:c r="D3" s="948"/>
      <x:c r="E3" s="948"/>
      <x:c r="F3" s="948"/>
      <x:c r="G3" s="948"/>
      <x:c r="H3" s="948"/>
      <x:c r="I3" s="947" t="s">
        <x:v>28</x:v>
      </x:c>
      <x:c r="J3" s="947"/>
      <x:c r="K3" s="947"/>
      <x:c r="L3" s="947"/>
      <x:c r="M3" s="949" t="str">
        <x:f>'입력1(학교시설명 등 기본사항 입력) 보고서1,2'!C2</x:f>
        <x:v>평촌경영고등학교</x:v>
      </x:c>
      <x:c r="N3" s="950"/>
      <x:c r="O3" s="950"/>
      <x:c r="P3" s="950"/>
      <x:c r="Q3" s="950"/>
      <x:c r="R3" s="950"/>
      <x:c r="S3" s="950"/>
      <x:c r="T3" s="950"/>
      <x:c r="U3" s="950"/>
      <x:c r="V3" s="950"/>
      <x:c r="W3" s="950"/>
      <x:c r="X3" s="950"/>
      <x:c r="Y3" s="950"/>
      <x:c r="Z3" s="951"/>
    </x:row>
    <x:row r="4" spans="1:26">
      <x:c r="A4" s="952" t="s">
        <x:v>23</x:v>
      </x:c>
      <x:c r="B4" s="953"/>
      <x:c r="C4" s="954" t="str">
        <x:f>'입력1(학교시설명 등 기본사항 입력) 보고서1,2'!C13</x:f>
        <x:v>2026.06.10</x:v>
      </x:c>
      <x:c r="D4" s="954"/>
      <x:c r="E4" s="954"/>
      <x:c r="F4" s="954"/>
      <x:c r="G4" s="954"/>
      <x:c r="H4" s="954"/>
      <x:c r="I4" s="953" t="s">
        <x:v>25</x:v>
      </x:c>
      <x:c r="J4" s="953"/>
      <x:c r="K4" s="953"/>
      <x:c r="L4" s="953"/>
      <x:c r="M4" s="955" t="s">
        <x:v>527</x:v>
      </x:c>
      <x:c r="N4" s="956"/>
      <x:c r="O4" s="956"/>
      <x:c r="P4" s="956"/>
      <x:c r="Q4" s="956"/>
      <x:c r="R4" s="956"/>
      <x:c r="S4" s="956"/>
      <x:c r="T4" s="956"/>
      <x:c r="U4" s="956"/>
      <x:c r="V4" s="956"/>
      <x:c r="W4" s="956"/>
      <x:c r="X4" s="956"/>
      <x:c r="Y4" s="956"/>
      <x:c r="Z4" s="957"/>
    </x:row>
    <x:row r="5" spans="1:26">
      <x:c r="A5" s="952" t="s">
        <x:v>15</x:v>
      </x:c>
      <x:c r="B5" s="953"/>
      <x:c r="C5" s="928" t="str">
        <x:f>'입력1(학교시설명 등 기본사항 입력) 보고서1,2'!I15</x:f>
        <x:v>박정식</x:v>
      </x:c>
      <x:c r="D5" s="928"/>
      <x:c r="E5" s="928"/>
      <x:c r="F5" s="928"/>
      <x:c r="G5" s="928"/>
      <x:c r="H5" s="928"/>
      <x:c r="I5" s="953" t="s">
        <x:v>22</x:v>
      </x:c>
      <x:c r="J5" s="953"/>
      <x:c r="K5" s="953"/>
      <x:c r="L5" s="953"/>
      <x:c r="M5" s="958" t="str">
        <x:f>'입력2(측정)'!B1</x:f>
        <x:v>유재혁</x:v>
      </x:c>
      <x:c r="N5" s="959"/>
      <x:c r="O5" s="959"/>
      <x:c r="P5" s="959"/>
      <x:c r="Q5" s="959"/>
      <x:c r="R5" s="959"/>
      <x:c r="S5" s="959"/>
      <x:c r="T5" s="959"/>
      <x:c r="U5" s="959"/>
      <x:c r="V5" s="959"/>
      <x:c r="W5" s="959"/>
      <x:c r="X5" s="959"/>
      <x:c r="Y5" s="959"/>
      <x:c r="Z5" s="960"/>
    </x:row>
    <x:row r="6" spans="1:26" ht="13.5" customHeight="1">
      <x:c r="A6" s="961" t="s">
        <x:v>20</x:v>
      </x:c>
      <x:c r="B6" s="962"/>
      <x:c r="C6" s="965" t="str">
        <x:f>'입력2(측정)'!$B46</x:f>
        <x:v>5층 2-11반</x:v>
      </x:c>
      <x:c r="D6" s="966"/>
      <x:c r="E6" s="966"/>
      <x:c r="F6" s="967"/>
      <x:c r="G6" s="965" t="str">
        <x:f>'입력2(측정)'!B47</x:f>
        <x:v>4층 2-4반</x:v>
      </x:c>
      <x:c r="H6" s="966"/>
      <x:c r="I6" s="966"/>
      <x:c r="J6" s="967"/>
      <x:c r="K6" s="965" t="str">
        <x:f>'입력2(측정)'!B48</x:f>
        <x:v>1층 (도제)회계실무실습실</x:v>
      </x:c>
      <x:c r="L6" s="966"/>
      <x:c r="M6" s="966"/>
      <x:c r="N6" s="967"/>
      <x:c r="O6" s="965">
        <x:f>'입력2(측정)'!B49</x:f>
        <x:v>0</x:v>
      </x:c>
      <x:c r="P6" s="966"/>
      <x:c r="Q6" s="966"/>
      <x:c r="R6" s="967"/>
      <x:c r="S6" s="965" t="s">
        <x:v>204</x:v>
      </x:c>
      <x:c r="T6" s="966"/>
      <x:c r="U6" s="966"/>
      <x:c r="V6" s="967"/>
      <x:c r="W6" s="965" t="s">
        <x:v>204</x:v>
      </x:c>
      <x:c r="X6" s="966"/>
      <x:c r="Y6" s="966"/>
      <x:c r="Z6" s="967"/>
    </x:row>
    <x:row r="7" spans="1:26" ht="9.75" customHeight="1">
      <x:c r="A7" s="963"/>
      <x:c r="B7" s="964"/>
      <x:c r="C7" s="968"/>
      <x:c r="D7" s="969"/>
      <x:c r="E7" s="969"/>
      <x:c r="F7" s="970"/>
      <x:c r="G7" s="968"/>
      <x:c r="H7" s="969"/>
      <x:c r="I7" s="969"/>
      <x:c r="J7" s="970"/>
      <x:c r="K7" s="968"/>
      <x:c r="L7" s="969"/>
      <x:c r="M7" s="969"/>
      <x:c r="N7" s="970"/>
      <x:c r="O7" s="968"/>
      <x:c r="P7" s="969"/>
      <x:c r="Q7" s="969"/>
      <x:c r="R7" s="970"/>
      <x:c r="S7" s="968"/>
      <x:c r="T7" s="969"/>
      <x:c r="U7" s="969"/>
      <x:c r="V7" s="970"/>
      <x:c r="W7" s="968"/>
      <x:c r="X7" s="969"/>
      <x:c r="Y7" s="969"/>
      <x:c r="Z7" s="970"/>
    </x:row>
    <x:row r="8" spans="1:26">
      <x:c r="A8" s="971" t="s">
        <x:v>39</x:v>
      </x:c>
      <x:c r="B8" s="972"/>
      <x:c r="C8" s="973">
        <x:f>보고서3!G95</x:f>
        <x:v>25.5</x:v>
      </x:c>
      <x:c r="D8" s="973"/>
      <x:c r="E8" s="973"/>
      <x:c r="F8" s="973"/>
      <x:c r="G8" s="973">
        <x:f>보고서3!G96</x:f>
        <x:v>25.099999999999998</x:v>
      </x:c>
      <x:c r="H8" s="973"/>
      <x:c r="I8" s="973"/>
      <x:c r="J8" s="973"/>
      <x:c r="K8" s="973">
        <x:f>보고서3!G97</x:f>
        <x:v>25.733333333333334</x:v>
      </x:c>
      <x:c r="L8" s="973"/>
      <x:c r="M8" s="973"/>
      <x:c r="N8" s="973"/>
      <x:c r="O8" s="973" t="str">
        <x:f>보고서3!G98</x:f>
        <x:v>-</x:v>
      </x:c>
      <x:c r="P8" s="973"/>
      <x:c r="Q8" s="973"/>
      <x:c r="R8" s="973"/>
      <x:c r="S8" s="973" t="s">
        <x:v>204</x:v>
      </x:c>
      <x:c r="T8" s="973"/>
      <x:c r="U8" s="973"/>
      <x:c r="V8" s="973"/>
      <x:c r="W8" s="973" t="s">
        <x:v>204</x:v>
      </x:c>
      <x:c r="X8" s="973"/>
      <x:c r="Y8" s="973"/>
      <x:c r="Z8" s="973"/>
    </x:row>
    <x:row r="9" spans="1:26">
      <x:c r="A9" s="971" t="s">
        <x:v>38</x:v>
      </x:c>
      <x:c r="B9" s="972"/>
      <x:c r="C9" s="973">
        <x:f>보고서3!G102</x:f>
        <x:v>41.389999999999993</x:v>
      </x:c>
      <x:c r="D9" s="973"/>
      <x:c r="E9" s="973"/>
      <x:c r="F9" s="973"/>
      <x:c r="G9" s="974">
        <x:f>보고서3!G103</x:f>
        <x:v>45.666666666666664</x:v>
      </x:c>
      <x:c r="H9" s="974"/>
      <x:c r="I9" s="974"/>
      <x:c r="J9" s="974"/>
      <x:c r="K9" s="975">
        <x:f>보고서3!G104</x:f>
        <x:v>51.70000000000001</x:v>
      </x:c>
      <x:c r="L9" s="975"/>
      <x:c r="M9" s="975"/>
      <x:c r="N9" s="975"/>
      <x:c r="O9" s="975" t="str">
        <x:f>보고서3!G105</x:f>
        <x:v>-</x:v>
      </x:c>
      <x:c r="P9" s="975"/>
      <x:c r="Q9" s="975"/>
      <x:c r="R9" s="975"/>
      <x:c r="S9" s="975" t="s">
        <x:v>204</x:v>
      </x:c>
      <x:c r="T9" s="975"/>
      <x:c r="U9" s="975"/>
      <x:c r="V9" s="975"/>
      <x:c r="W9" s="975" t="s">
        <x:v>204</x:v>
      </x:c>
      <x:c r="X9" s="975"/>
      <x:c r="Y9" s="975"/>
      <x:c r="Z9" s="976"/>
    </x:row>
    <x:row r="10" spans="1:26">
      <x:c r="A10" s="977" t="s">
        <x:v>420</x:v>
      </x:c>
      <x:c r="B10" s="978"/>
      <x:c r="C10" s="979">
        <x:f>'입력2(측정)'!M5</x:f>
        <x:v>1004</x:v>
      </x:c>
      <x:c r="D10" s="979"/>
      <x:c r="E10" s="979"/>
      <x:c r="F10" s="979"/>
      <x:c r="G10" s="980">
        <x:f>'입력2(측정)'!M6</x:f>
        <x:v>1004.3</x:v>
      </x:c>
      <x:c r="H10" s="980"/>
      <x:c r="I10" s="980"/>
      <x:c r="J10" s="980"/>
      <x:c r="K10" s="981">
        <x:f>'입력2(측정)'!M7</x:f>
        <x:v>1005.3</x:v>
      </x:c>
      <x:c r="L10" s="981"/>
      <x:c r="M10" s="981"/>
      <x:c r="N10" s="981"/>
      <x:c r="O10" s="981">
        <x:f>'입력2(측정)'!M8</x:f>
        <x:v>0</x:v>
      </x:c>
      <x:c r="P10" s="981"/>
      <x:c r="Q10" s="981"/>
      <x:c r="R10" s="981"/>
      <x:c r="S10" s="981" t="s">
        <x:v>204</x:v>
      </x:c>
      <x:c r="T10" s="981"/>
      <x:c r="U10" s="981"/>
      <x:c r="V10" s="981"/>
      <x:c r="W10" s="981" t="s">
        <x:v>204</x:v>
      </x:c>
      <x:c r="X10" s="981"/>
      <x:c r="Y10" s="981"/>
      <x:c r="Z10" s="982"/>
    </x:row>
    <x:row r="11" spans="1:18">
      <x:c r="A11" s="10"/>
      <x:c r="B11" s="10"/>
      <x:c r="C11" s="137"/>
      <x:c r="D11" s="137"/>
      <x:c r="E11" s="137"/>
      <x:c r="F11" s="137"/>
      <x:c r="G11" s="138"/>
      <x:c r="H11" s="138"/>
      <x:c r="I11" s="138"/>
      <x:c r="J11" s="138"/>
      <x:c r="K11" s="139"/>
      <x:c r="L11" s="139"/>
      <x:c r="M11" s="139"/>
      <x:c r="N11" s="139"/>
      <x:c r="O11" s="139"/>
      <x:c r="P11" s="139"/>
      <x:c r="Q11" s="139"/>
      <x:c r="R11" s="139"/>
    </x:row>
    <x:row r="12" spans="1:26" ht="60" customHeight="1">
      <x:c r="A12" s="983" t="s">
        <x:v>2</x:v>
      </x:c>
      <x:c r="B12" s="984"/>
      <x:c r="C12" s="984"/>
      <x:c r="D12" s="984"/>
      <x:c r="E12" s="984"/>
      <x:c r="F12" s="984"/>
      <x:c r="G12" s="984"/>
      <x:c r="H12" s="984"/>
      <x:c r="I12" s="984"/>
      <x:c r="J12" s="984"/>
      <x:c r="K12" s="984"/>
      <x:c r="L12" s="984"/>
      <x:c r="M12" s="984"/>
      <x:c r="N12" s="984"/>
      <x:c r="O12" s="984"/>
      <x:c r="P12" s="984"/>
      <x:c r="Q12" s="984"/>
      <x:c r="R12" s="984"/>
      <x:c r="S12" s="984"/>
      <x:c r="T12" s="984"/>
      <x:c r="U12" s="984"/>
      <x:c r="V12" s="984"/>
      <x:c r="W12" s="984"/>
      <x:c r="X12" s="984"/>
      <x:c r="Y12" s="984"/>
      <x:c r="Z12" s="985"/>
    </x:row>
    <x:row r="13" spans="1:18">
      <x:c r="A13" s="986"/>
      <x:c r="B13" s="986"/>
      <x:c r="C13" s="986"/>
      <x:c r="D13" s="986"/>
      <x:c r="E13" s="986"/>
      <x:c r="F13" s="986"/>
      <x:c r="G13" s="986"/>
      <x:c r="H13" s="986"/>
      <x:c r="I13" s="986"/>
      <x:c r="J13" s="986"/>
      <x:c r="K13" s="986"/>
      <x:c r="L13" s="986"/>
      <x:c r="M13" s="986"/>
      <x:c r="N13" s="986"/>
      <x:c r="O13" s="986"/>
      <x:c r="P13" s="986"/>
      <x:c r="Q13" s="986"/>
      <x:c r="R13" s="986"/>
    </x:row>
    <x:row r="14" spans="1:18">
      <x:c r="A14" s="987" t="s">
        <x:v>36</x:v>
      </x:c>
      <x:c r="B14" s="987"/>
      <x:c r="C14" s="987"/>
      <x:c r="D14" s="987"/>
      <x:c r="E14" s="987"/>
      <x:c r="F14" s="987"/>
      <x:c r="G14" s="987"/>
      <x:c r="H14" s="987"/>
      <x:c r="I14" s="987"/>
      <x:c r="J14" s="987"/>
      <x:c r="K14" s="987"/>
      <x:c r="L14" s="987"/>
      <x:c r="M14" s="987"/>
      <x:c r="N14" s="987"/>
      <x:c r="O14" s="987"/>
      <x:c r="P14" s="987"/>
      <x:c r="Q14" s="987"/>
      <x:c r="R14" s="987"/>
    </x:row>
    <x:row r="15" spans="1:26">
      <x:c r="A15" s="988" t="s">
        <x:v>419</x:v>
      </x:c>
      <x:c r="B15" s="989"/>
      <x:c r="C15" s="989"/>
      <x:c r="D15" s="989"/>
      <x:c r="E15" s="989"/>
      <x:c r="F15" s="989"/>
      <x:c r="G15" s="989"/>
      <x:c r="H15" s="989"/>
      <x:c r="I15" s="989"/>
      <x:c r="J15" s="989"/>
      <x:c r="K15" s="989"/>
      <x:c r="L15" s="989"/>
      <x:c r="M15" s="989"/>
      <x:c r="N15" s="989"/>
      <x:c r="O15" s="989"/>
      <x:c r="P15" s="989"/>
      <x:c r="Q15" s="989"/>
      <x:c r="R15" s="989"/>
      <x:c r="S15" s="989"/>
      <x:c r="T15" s="989"/>
      <x:c r="U15" s="989"/>
      <x:c r="V15" s="989"/>
      <x:c r="W15" s="989"/>
      <x:c r="X15" s="989"/>
      <x:c r="Y15" s="989"/>
      <x:c r="Z15" s="989"/>
    </x:row>
    <x:row r="16" spans="1:26" ht="73.5" customHeight="1">
      <x:c r="A16" s="990"/>
      <x:c r="B16" s="582"/>
      <x:c r="C16" s="582"/>
      <x:c r="D16" s="582"/>
      <x:c r="E16" s="582"/>
      <x:c r="F16" s="582"/>
      <x:c r="G16" s="582"/>
      <x:c r="H16" s="582"/>
      <x:c r="I16" s="582"/>
      <x:c r="J16" s="583"/>
      <x:c r="K16" s="991" t="s">
        <x:v>342</x:v>
      </x:c>
      <x:c r="L16" s="992"/>
      <x:c r="M16" s="992"/>
      <x:c r="N16" s="992"/>
      <x:c r="O16" s="992"/>
      <x:c r="P16" s="992"/>
      <x:c r="Q16" s="992"/>
      <x:c r="R16" s="992"/>
      <x:c r="S16" s="992"/>
      <x:c r="T16" s="992"/>
      <x:c r="U16" s="992"/>
      <x:c r="V16" s="992"/>
      <x:c r="W16" s="992"/>
      <x:c r="X16" s="992"/>
      <x:c r="Y16" s="992"/>
      <x:c r="Z16" s="992"/>
    </x:row>
    <x:row r="17" spans="1:26">
      <x:c r="A17" s="993"/>
      <x:c r="B17" s="896"/>
      <x:c r="C17" s="896"/>
      <x:c r="D17" s="896"/>
      <x:c r="E17" s="896"/>
      <x:c r="F17" s="896"/>
      <x:c r="G17" s="896"/>
      <x:c r="H17" s="896"/>
      <x:c r="I17" s="896"/>
      <x:c r="J17" s="896"/>
      <x:c r="K17" s="896"/>
      <x:c r="L17" s="896"/>
      <x:c r="M17" s="896"/>
      <x:c r="N17" s="896"/>
      <x:c r="O17" s="896"/>
      <x:c r="P17" s="896"/>
      <x:c r="Q17" s="896"/>
      <x:c r="R17" s="896"/>
      <x:c r="S17" s="896"/>
      <x:c r="T17" s="896"/>
      <x:c r="U17" s="896"/>
      <x:c r="V17" s="896"/>
      <x:c r="W17" s="896"/>
      <x:c r="X17" s="896"/>
      <x:c r="Y17" s="896"/>
      <x:c r="Z17" s="896"/>
    </x:row>
    <x:row r="18" spans="1:26">
      <x:c r="A18" s="994" t="s">
        <x:v>20</x:v>
      </x:c>
      <x:c r="B18" s="995"/>
      <x:c r="C18" s="996" t="str">
        <x:f>C6</x:f>
        <x:v>5층 2-11반</x:v>
      </x:c>
      <x:c r="D18" s="947"/>
      <x:c r="E18" s="947"/>
      <x:c r="F18" s="947"/>
      <x:c r="G18" s="996" t="str">
        <x:f>G6</x:f>
        <x:v>4층 2-4반</x:v>
      </x:c>
      <x:c r="H18" s="947"/>
      <x:c r="I18" s="947"/>
      <x:c r="J18" s="947"/>
      <x:c r="K18" s="998" t="str">
        <x:f>K6</x:f>
        <x:v>1층 (도제)회계실무실습실</x:v>
      </x:c>
      <x:c r="L18" s="999"/>
      <x:c r="M18" s="999"/>
      <x:c r="N18" s="1000"/>
      <x:c r="O18" s="996">
        <x:f>O6</x:f>
        <x:v>0</x:v>
      </x:c>
      <x:c r="P18" s="947"/>
      <x:c r="Q18" s="947"/>
      <x:c r="R18" s="997"/>
      <x:c r="S18" s="996" t="str">
        <x:f>S6</x:f>
        <x:v>-</x:v>
      </x:c>
      <x:c r="T18" s="947"/>
      <x:c r="U18" s="947"/>
      <x:c r="V18" s="947"/>
      <x:c r="W18" s="996" t="str">
        <x:f>W6</x:f>
        <x:v>-</x:v>
      </x:c>
      <x:c r="X18" s="947"/>
      <x:c r="Y18" s="947"/>
      <x:c r="Z18" s="997"/>
    </x:row>
    <x:row r="19" spans="1:26" ht="41.25" customHeight="1">
      <x:c r="A19" s="1001" t="s">
        <x:v>507</x:v>
      </x:c>
      <x:c r="B19" s="5" t="s">
        <x:v>13</x:v>
      </x:c>
      <x:c r="C19" s="1005"/>
      <x:c r="D19" s="1005"/>
      <x:c r="E19" s="1005"/>
      <x:c r="F19" s="1005"/>
      <x:c r="G19" s="1005"/>
      <x:c r="H19" s="1005"/>
      <x:c r="I19" s="1005"/>
      <x:c r="J19" s="1006"/>
      <x:c r="K19" s="1007" t="s">
        <x:v>343</x:v>
      </x:c>
      <x:c r="L19" s="1008"/>
      <x:c r="M19" s="1008"/>
      <x:c r="N19" s="1008"/>
      <x:c r="O19" s="1008"/>
      <x:c r="P19" s="1008"/>
      <x:c r="Q19" s="1008"/>
      <x:c r="R19" s="1008"/>
      <x:c r="S19" s="1008"/>
      <x:c r="T19" s="1008"/>
      <x:c r="U19" s="1008"/>
      <x:c r="V19" s="1008"/>
      <x:c r="W19" s="1008"/>
      <x:c r="X19" s="1008"/>
      <x:c r="Y19" s="1008"/>
      <x:c r="Z19" s="1009"/>
    </x:row>
    <x:row r="20" spans="1:26">
      <x:c r="A20" s="1002"/>
      <x:c r="B20" s="5" t="s">
        <x:v>21</x:v>
      </x:c>
      <x:c r="C20" s="1010" t="s">
        <x:v>151</x:v>
      </x:c>
      <x:c r="D20" s="1011"/>
      <x:c r="E20" s="1011"/>
      <x:c r="F20" s="1011"/>
      <x:c r="G20" s="1010" t="s">
        <x:v>60</x:v>
      </x:c>
      <x:c r="H20" s="1011"/>
      <x:c r="I20" s="1011"/>
      <x:c r="J20" s="1011"/>
      <x:c r="K20" s="1010" t="s">
        <x:v>65</x:v>
      </x:c>
      <x:c r="L20" s="1011"/>
      <x:c r="M20" s="1011"/>
      <x:c r="N20" s="1011"/>
      <x:c r="O20" s="1010" t="s">
        <x:v>204</x:v>
      </x:c>
      <x:c r="P20" s="1011"/>
      <x:c r="Q20" s="1011"/>
      <x:c r="R20" s="1011"/>
      <x:c r="S20" s="1010" t="s">
        <x:v>204</x:v>
      </x:c>
      <x:c r="T20" s="1011"/>
      <x:c r="U20" s="1011"/>
      <x:c r="V20" s="1011"/>
      <x:c r="W20" s="1010" t="s">
        <x:v>204</x:v>
      </x:c>
      <x:c r="X20" s="1011"/>
      <x:c r="Y20" s="1011"/>
      <x:c r="Z20" s="1011"/>
    </x:row>
    <x:row r="21" spans="1:26">
      <x:c r="A21" s="1003"/>
      <x:c r="B21" s="6" t="s">
        <x:v>206</x:v>
      </x:c>
      <x:c r="C21" s="1012">
        <x:f>C22/C23</x:f>
        <x:v>80.852562902751416</x:v>
      </x:c>
      <x:c r="D21" s="1013"/>
      <x:c r="E21" s="1013"/>
      <x:c r="F21" s="1013"/>
      <x:c r="G21" s="1012">
        <x:f>G22/G23</x:f>
        <x:v>242.16029462572683</x:v>
      </x:c>
      <x:c r="H21" s="1013"/>
      <x:c r="I21" s="1013"/>
      <x:c r="J21" s="1013"/>
      <x:c r="K21" s="1012">
        <x:f>K22/K23</x:f>
        <x:v>30.304173117377232</x:v>
      </x:c>
      <x:c r="L21" s="1013"/>
      <x:c r="M21" s="1013"/>
      <x:c r="N21" s="1013"/>
      <x:c r="O21" s="1012" t="s">
        <x:v>204</x:v>
      </x:c>
      <x:c r="P21" s="1013"/>
      <x:c r="Q21" s="1013"/>
      <x:c r="R21" s="1013"/>
      <x:c r="S21" s="1012" t="s">
        <x:v>204</x:v>
      </x:c>
      <x:c r="T21" s="1013"/>
      <x:c r="U21" s="1013"/>
      <x:c r="V21" s="1013"/>
      <x:c r="W21" s="1012" t="s">
        <x:v>204</x:v>
      </x:c>
      <x:c r="X21" s="1013"/>
      <x:c r="Y21" s="1013"/>
      <x:c r="Z21" s="1013"/>
    </x:row>
    <x:row r="22" spans="1:26">
      <x:c r="A22" s="1003"/>
      <x:c r="B22" s="6" t="s">
        <x:v>289</x:v>
      </x:c>
      <x:c r="C22" s="1014">
        <x:f>'입력2(측정)'!Y46</x:f>
        <x:v>8</x:v>
      </x:c>
      <x:c r="D22" s="1015"/>
      <x:c r="E22" s="1015"/>
      <x:c r="F22" s="1016"/>
      <x:c r="G22" s="1017">
        <x:f>'입력2(측정)'!Y47</x:f>
        <x:v>24</x:v>
      </x:c>
      <x:c r="H22" s="1015"/>
      <x:c r="I22" s="1015"/>
      <x:c r="J22" s="1015"/>
      <x:c r="K22" s="1014">
        <x:f>'입력2(측정)'!Y48</x:f>
        <x:v>3</x:v>
      </x:c>
      <x:c r="L22" s="1015"/>
      <x:c r="M22" s="1015"/>
      <x:c r="N22" s="1015"/>
      <x:c r="O22" s="1014" t="s">
        <x:v>204</x:v>
      </x:c>
      <x:c r="P22" s="1015"/>
      <x:c r="Q22" s="1015"/>
      <x:c r="R22" s="1015"/>
      <x:c r="S22" s="1014" t="s">
        <x:v>204</x:v>
      </x:c>
      <x:c r="T22" s="1015"/>
      <x:c r="U22" s="1015"/>
      <x:c r="V22" s="1015"/>
      <x:c r="W22" s="1014" t="s">
        <x:v>204</x:v>
      </x:c>
      <x:c r="X22" s="1015"/>
      <x:c r="Y22" s="1015"/>
      <x:c r="Z22" s="1015"/>
    </x:row>
    <x:row r="23" spans="1:26">
      <x:c r="A23" s="1003"/>
      <x:c r="B23" s="7" t="s">
        <x:v>353</x:v>
      </x:c>
      <x:c r="C23" s="1018">
        <x:f>'포집유량 보정'!N8</x:f>
        <x:v>0.098945533855523085</x:v>
      </x:c>
      <x:c r="D23" s="1019"/>
      <x:c r="E23" s="1019"/>
      <x:c r="F23" s="1020"/>
      <x:c r="G23" s="1018">
        <x:f>'포집유량 보정'!N9</x:f>
        <x:v>0.099107907169891041</x:v>
      </x:c>
      <x:c r="H23" s="1019"/>
      <x:c r="I23" s="1019"/>
      <x:c r="J23" s="1020"/>
      <x:c r="K23" s="1018">
        <x:f>'포집유량 보정'!N10</x:f>
        <x:v>0.098996266566327096</x:v>
      </x:c>
      <x:c r="L23" s="1019"/>
      <x:c r="M23" s="1019"/>
      <x:c r="N23" s="1020"/>
      <x:c r="O23" s="1018" t="s">
        <x:v>204</x:v>
      </x:c>
      <x:c r="P23" s="1019"/>
      <x:c r="Q23" s="1019"/>
      <x:c r="R23" s="1020"/>
      <x:c r="S23" s="1018" t="s">
        <x:v>204</x:v>
      </x:c>
      <x:c r="T23" s="1019"/>
      <x:c r="U23" s="1019"/>
      <x:c r="V23" s="1020"/>
      <x:c r="W23" s="1018" t="s">
        <x:v>204</x:v>
      </x:c>
      <x:c r="X23" s="1019"/>
      <x:c r="Y23" s="1019"/>
      <x:c r="Z23" s="1020"/>
    </x:row>
    <x:row r="24" spans="1:26">
      <x:c r="A24" s="1004"/>
      <x:c r="B24" s="8" t="s">
        <x:v>215</x:v>
      </x:c>
      <x:c r="C24" s="1021">
        <x:f>'포집유량 보정'!N8</x:f>
        <x:v>0.098945533855523085</x:v>
      </x:c>
      <x:c r="D24" s="1022"/>
      <x:c r="E24" s="1022"/>
      <x:c r="F24" s="1023"/>
      <x:c r="G24" s="1021">
        <x:f>'포집유량 보정'!N9</x:f>
        <x:v>0.099107907169891041</x:v>
      </x:c>
      <x:c r="H24" s="1022"/>
      <x:c r="I24" s="1022"/>
      <x:c r="J24" s="1023"/>
      <x:c r="K24" s="1021">
        <x:f>'포집유량 보정'!N10</x:f>
        <x:v>0.098996266566327096</x:v>
      </x:c>
      <x:c r="L24" s="1022"/>
      <x:c r="M24" s="1022"/>
      <x:c r="N24" s="1023"/>
      <x:c r="O24" s="1021" t="s">
        <x:v>204</x:v>
      </x:c>
      <x:c r="P24" s="1022"/>
      <x:c r="Q24" s="1022"/>
      <x:c r="R24" s="1023"/>
      <x:c r="S24" s="1021" t="s">
        <x:v>204</x:v>
      </x:c>
      <x:c r="T24" s="1022"/>
      <x:c r="U24" s="1022"/>
      <x:c r="V24" s="1023"/>
      <x:c r="W24" s="1021" t="s">
        <x:v>204</x:v>
      </x:c>
      <x:c r="X24" s="1022"/>
      <x:c r="Y24" s="1022"/>
      <x:c r="Z24" s="1023"/>
    </x:row>
    <x:row r="25" spans="1:18">
      <x:c r="A25" s="9"/>
      <x:c r="B25" s="10"/>
      <x:c r="C25" s="11"/>
      <x:c r="D25" s="11"/>
      <x:c r="E25" s="11"/>
      <x:c r="F25" s="11"/>
      <x:c r="G25" s="11"/>
      <x:c r="H25" s="11"/>
      <x:c r="I25" s="11"/>
      <x:c r="J25" s="11"/>
      <x:c r="K25" s="12"/>
      <x:c r="L25" s="12"/>
      <x:c r="M25" s="12"/>
      <x:c r="N25" s="12"/>
      <x:c r="O25" s="12"/>
      <x:c r="P25" s="12"/>
      <x:c r="Q25" s="12"/>
      <x:c r="R25" s="12"/>
    </x:row>
    <x:row r="26" spans="1:18">
      <x:c r="A26" s="1024" t="s">
        <x:v>14</x:v>
      </x:c>
      <x:c r="B26" s="1024"/>
      <x:c r="C26" s="1024"/>
      <x:c r="D26" s="1024"/>
      <x:c r="E26" s="1024"/>
      <x:c r="F26" s="1024"/>
      <x:c r="G26" s="1024"/>
      <x:c r="H26" s="1024"/>
      <x:c r="I26" s="1024"/>
      <x:c r="J26" s="1024"/>
      <x:c r="K26" s="1024"/>
      <x:c r="L26" s="1024"/>
      <x:c r="M26" s="1024"/>
      <x:c r="N26" s="1024"/>
      <x:c r="O26" s="1024"/>
      <x:c r="P26" s="1024"/>
      <x:c r="Q26" s="1024"/>
      <x:c r="R26" s="1024"/>
    </x:row>
    <x:row r="27" spans="1:26" ht="16.649999999999999" customHeight="1">
      <x:c r="A27" s="1025" t="s">
        <x:v>20</x:v>
      </x:c>
      <x:c r="B27" s="1026"/>
      <x:c r="C27" s="1027" t="s">
        <x:v>214</x:v>
      </x:c>
      <x:c r="D27" s="1028"/>
      <x:c r="E27" s="1028"/>
      <x:c r="F27" s="1028"/>
      <x:c r="G27" s="1028"/>
      <x:c r="H27" s="1028"/>
      <x:c r="I27" s="1028"/>
      <x:c r="J27" s="1028"/>
      <x:c r="K27" s="1028"/>
      <x:c r="L27" s="1028"/>
      <x:c r="M27" s="1028"/>
      <x:c r="N27" s="1028"/>
      <x:c r="O27" s="1028"/>
      <x:c r="P27" s="1028"/>
      <x:c r="Q27" s="1028"/>
      <x:c r="R27" s="1028"/>
      <x:c r="S27" s="1028"/>
      <x:c r="T27" s="1028"/>
      <x:c r="U27" s="1028"/>
      <x:c r="V27" s="1028"/>
      <x:c r="W27" s="1028"/>
      <x:c r="X27" s="1028"/>
      <x:c r="Y27" s="1028"/>
      <x:c r="Z27" s="1029"/>
    </x:row>
    <x:row r="28" spans="1:26">
      <x:c r="A28" s="1030" t="str">
        <x:f>C18</x:f>
        <x:v>5층 2-11반</x:v>
      </x:c>
      <x:c r="B28" s="1031"/>
      <x:c r="C28" s="13"/>
      <x:c r="D28" s="1036"/>
      <x:c r="E28" s="1036"/>
      <x:c r="F28" s="1036"/>
      <x:c r="G28" s="1036"/>
      <x:c r="H28" s="1036"/>
      <x:c r="I28" s="1036"/>
      <x:c r="J28" s="1036"/>
      <x:c r="K28" s="1036"/>
      <x:c r="L28" s="1037">
        <x:f>C22</x:f>
        <x:v>8</x:v>
      </x:c>
      <x:c r="M28" s="1037"/>
      <x:c r="N28" s="1037"/>
      <x:c r="O28" s="1037"/>
      <x:c r="P28" s="1037"/>
      <x:c r="Q28" s="1037"/>
      <x:c r="R28" s="1037"/>
      <x:c r="S28" s="1037"/>
      <x:c r="T28" s="269"/>
      <x:c r="U28" s="269"/>
      <x:c r="V28" s="269"/>
      <x:c r="W28" s="269"/>
      <x:c r="X28" s="269"/>
      <x:c r="Y28" s="269"/>
      <x:c r="Z28" s="275"/>
    </x:row>
    <x:row r="29" spans="1:26">
      <x:c r="A29" s="1032"/>
      <x:c r="B29" s="1033"/>
      <x:c r="C29" s="14"/>
      <x:c r="D29" s="262"/>
      <x:c r="E29" s="263"/>
      <x:c r="F29" s="1038"/>
      <x:c r="G29" s="1038"/>
      <x:c r="H29" s="264"/>
      <x:c r="I29" s="1039"/>
      <x:c r="J29" s="1039"/>
      <x:c r="K29" s="265"/>
      <x:c r="L29" s="15">
        <x:f>C24</x:f>
        <x:v>0.098945533855523085</x:v>
      </x:c>
      <x:c r="M29" s="16" t="s">
        <x:v>207</x:v>
      </x:c>
      <x:c r="N29" s="1040" t="s">
        <x:v>418</x:v>
      </x:c>
      <x:c r="O29" s="1040"/>
      <x:c r="P29" s="17" t="s">
        <x:v>207</x:v>
      </x:c>
      <x:c r="Q29" s="1041">
        <x:f>C10</x:f>
        <x:v>1004</x:v>
      </x:c>
      <x:c r="R29" s="1041"/>
      <x:c r="S29" s="18"/>
      <x:c r="Z29" s="276"/>
    </x:row>
    <x:row r="30" spans="1:26">
      <x:c r="A30" s="1034"/>
      <x:c r="B30" s="1035"/>
      <x:c r="C30" s="19"/>
      <x:c r="D30" s="270"/>
      <x:c r="E30" s="1042"/>
      <x:c r="F30" s="1042"/>
      <x:c r="G30" s="271"/>
      <x:c r="H30" s="272"/>
      <x:c r="I30" s="272"/>
      <x:c r="J30" s="273"/>
      <x:c r="K30" s="274"/>
      <x:c r="L30" s="20"/>
      <x:c r="M30" s="1043" t="s">
        <x:v>24</x:v>
      </x:c>
      <x:c r="N30" s="1043"/>
      <x:c r="O30" s="21">
        <x:f>C8</x:f>
        <x:v>25.5</x:v>
      </x:c>
      <x:c r="P30" s="272" t="s">
        <x:v>201</x:v>
      </x:c>
      <x:c r="Q30" s="272" t="s">
        <x:v>207</x:v>
      </x:c>
      <x:c r="R30" s="67">
        <x:v>1013</x:v>
      </x:c>
      <x:c r="S30" s="22"/>
      <x:c r="T30" s="106"/>
      <x:c r="U30" s="106"/>
      <x:c r="V30" s="106"/>
      <x:c r="W30" s="106"/>
      <x:c r="X30" s="106"/>
      <x:c r="Y30" s="106"/>
      <x:c r="Z30" s="277"/>
    </x:row>
    <x:row r="31" spans="1:26">
      <x:c r="A31" s="1044" t="str">
        <x:f>G18</x:f>
        <x:v>4층 2-4반</x:v>
      </x:c>
      <x:c r="B31" s="1031"/>
      <x:c r="C31" s="13"/>
      <x:c r="D31" s="1036"/>
      <x:c r="E31" s="1036"/>
      <x:c r="F31" s="1036"/>
      <x:c r="G31" s="1036"/>
      <x:c r="H31" s="1036"/>
      <x:c r="I31" s="1036"/>
      <x:c r="J31" s="1036"/>
      <x:c r="K31" s="1036"/>
      <x:c r="L31" s="1037">
        <x:f>G22</x:f>
        <x:v>24</x:v>
      </x:c>
      <x:c r="M31" s="1037"/>
      <x:c r="N31" s="1037"/>
      <x:c r="O31" s="1037"/>
      <x:c r="P31" s="1037"/>
      <x:c r="Q31" s="1037"/>
      <x:c r="R31" s="1037"/>
      <x:c r="S31" s="1037"/>
      <x:c r="T31" s="269"/>
      <x:c r="U31" s="269"/>
      <x:c r="V31" s="269"/>
      <x:c r="W31" s="269"/>
      <x:c r="X31" s="269"/>
      <x:c r="Y31" s="269"/>
      <x:c r="Z31" s="275"/>
    </x:row>
    <x:row r="32" spans="1:26">
      <x:c r="A32" s="1032"/>
      <x:c r="B32" s="1033"/>
      <x:c r="C32" s="14"/>
      <x:c r="D32" s="262"/>
      <x:c r="E32" s="263"/>
      <x:c r="F32" s="1038"/>
      <x:c r="G32" s="1038"/>
      <x:c r="H32" s="264"/>
      <x:c r="I32" s="1039"/>
      <x:c r="J32" s="1039"/>
      <x:c r="K32" s="265"/>
      <x:c r="L32" s="15">
        <x:f>G24</x:f>
        <x:v>0.099107907169891041</x:v>
      </x:c>
      <x:c r="M32" s="16" t="s">
        <x:v>207</x:v>
      </x:c>
      <x:c r="N32" s="1040" t="s">
        <x:v>418</x:v>
      </x:c>
      <x:c r="O32" s="1040"/>
      <x:c r="P32" s="17" t="s">
        <x:v>207</x:v>
      </x:c>
      <x:c r="Q32" s="1041">
        <x:f>G10</x:f>
        <x:v>1004.3</x:v>
      </x:c>
      <x:c r="R32" s="1041"/>
      <x:c r="S32" s="18"/>
      <x:c r="Z32" s="276"/>
    </x:row>
    <x:row r="33" spans="1:26">
      <x:c r="A33" s="1034"/>
      <x:c r="B33" s="1035"/>
      <x:c r="C33" s="19"/>
      <x:c r="D33" s="270"/>
      <x:c r="E33" s="1042"/>
      <x:c r="F33" s="1042"/>
      <x:c r="G33" s="271"/>
      <x:c r="H33" s="272"/>
      <x:c r="I33" s="272"/>
      <x:c r="J33" s="273"/>
      <x:c r="K33" s="274"/>
      <x:c r="L33" s="20"/>
      <x:c r="M33" s="1043" t="s">
        <x:v>24</x:v>
      </x:c>
      <x:c r="N33" s="1043"/>
      <x:c r="O33" s="21">
        <x:f>G8</x:f>
        <x:v>25.099999999999998</x:v>
      </x:c>
      <x:c r="P33" s="272" t="s">
        <x:v>201</x:v>
      </x:c>
      <x:c r="Q33" s="272" t="s">
        <x:v>207</x:v>
      </x:c>
      <x:c r="R33" s="67">
        <x:v>1013</x:v>
      </x:c>
      <x:c r="S33" s="22"/>
      <x:c r="T33" s="106"/>
      <x:c r="U33" s="106"/>
      <x:c r="V33" s="106"/>
      <x:c r="W33" s="106"/>
      <x:c r="X33" s="106"/>
      <x:c r="Y33" s="106"/>
      <x:c r="Z33" s="277"/>
    </x:row>
    <x:row r="34" spans="1:26">
      <x:c r="A34" s="1045" t="str">
        <x:f>K18</x:f>
        <x:v>1층 (도제)회계실무실습실</x:v>
      </x:c>
      <x:c r="B34" s="1033"/>
      <x:c r="C34" s="13"/>
      <x:c r="D34" s="1036"/>
      <x:c r="E34" s="1036"/>
      <x:c r="F34" s="1036"/>
      <x:c r="G34" s="1036"/>
      <x:c r="H34" s="1036"/>
      <x:c r="I34" s="1036"/>
      <x:c r="J34" s="1036"/>
      <x:c r="K34" s="1036"/>
      <x:c r="L34" s="1037">
        <x:f>K22</x:f>
        <x:v>3</x:v>
      </x:c>
      <x:c r="M34" s="1037"/>
      <x:c r="N34" s="1037"/>
      <x:c r="O34" s="1037"/>
      <x:c r="P34" s="1037"/>
      <x:c r="Q34" s="1037"/>
      <x:c r="R34" s="1037"/>
      <x:c r="S34" s="1037"/>
      <x:c r="T34" s="269"/>
      <x:c r="U34" s="269"/>
      <x:c r="V34" s="269"/>
      <x:c r="W34" s="269"/>
      <x:c r="X34" s="269"/>
      <x:c r="Y34" s="269"/>
      <x:c r="Z34" s="275"/>
    </x:row>
    <x:row r="35" spans="1:26">
      <x:c r="A35" s="1032"/>
      <x:c r="B35" s="1033"/>
      <x:c r="C35" s="14"/>
      <x:c r="D35" s="262"/>
      <x:c r="E35" s="263"/>
      <x:c r="F35" s="1038"/>
      <x:c r="G35" s="1038"/>
      <x:c r="H35" s="264"/>
      <x:c r="I35" s="1039"/>
      <x:c r="J35" s="1039"/>
      <x:c r="K35" s="265"/>
      <x:c r="L35" s="15">
        <x:f>K24</x:f>
        <x:v>0.098996266566327096</x:v>
      </x:c>
      <x:c r="M35" s="16" t="s">
        <x:v>207</x:v>
      </x:c>
      <x:c r="N35" s="1040" t="s">
        <x:v>418</x:v>
      </x:c>
      <x:c r="O35" s="1040"/>
      <x:c r="P35" s="17" t="s">
        <x:v>207</x:v>
      </x:c>
      <x:c r="Q35" s="1041">
        <x:f>K10</x:f>
        <x:v>1005.3</x:v>
      </x:c>
      <x:c r="R35" s="1041"/>
      <x:c r="S35" s="18"/>
      <x:c r="Z35" s="276"/>
    </x:row>
    <x:row r="36" spans="1:26">
      <x:c r="A36" s="1034"/>
      <x:c r="B36" s="1035"/>
      <x:c r="C36" s="19"/>
      <x:c r="D36" s="270"/>
      <x:c r="E36" s="1042"/>
      <x:c r="F36" s="1042"/>
      <x:c r="G36" s="271"/>
      <x:c r="H36" s="272"/>
      <x:c r="I36" s="272"/>
      <x:c r="J36" s="274"/>
      <x:c r="K36" s="274"/>
      <x:c r="L36" s="20"/>
      <x:c r="M36" s="1043" t="s">
        <x:v>24</x:v>
      </x:c>
      <x:c r="N36" s="1043"/>
      <x:c r="O36" s="21">
        <x:f>K8</x:f>
        <x:v>25.733333333333334</x:v>
      </x:c>
      <x:c r="P36" s="272" t="s">
        <x:v>201</x:v>
      </x:c>
      <x:c r="Q36" s="272" t="s">
        <x:v>207</x:v>
      </x:c>
      <x:c r="R36" s="22">
        <x:v>1013</x:v>
      </x:c>
      <x:c r="S36" s="22"/>
      <x:c r="T36" s="106"/>
      <x:c r="U36" s="106"/>
      <x:c r="V36" s="106"/>
      <x:c r="W36" s="106"/>
      <x:c r="X36" s="106"/>
      <x:c r="Y36" s="106"/>
      <x:c r="Z36" s="277"/>
    </x:row>
    <x:row r="37" spans="1:26">
      <x:c r="A37" s="1044">
        <x:f>O18</x:f>
        <x:v>0</x:v>
      </x:c>
      <x:c r="B37" s="1031"/>
      <x:c r="C37" s="13"/>
      <x:c r="D37" s="1036"/>
      <x:c r="E37" s="1036"/>
      <x:c r="F37" s="1036"/>
      <x:c r="G37" s="1036"/>
      <x:c r="H37" s="1036"/>
      <x:c r="I37" s="1036"/>
      <x:c r="J37" s="1036"/>
      <x:c r="K37" s="1036"/>
      <x:c r="L37" s="1037" t="str">
        <x:f>O22</x:f>
        <x:v>-</x:v>
      </x:c>
      <x:c r="M37" s="1037"/>
      <x:c r="N37" s="1037"/>
      <x:c r="O37" s="1037"/>
      <x:c r="P37" s="1037"/>
      <x:c r="Q37" s="1037"/>
      <x:c r="R37" s="1037"/>
      <x:c r="S37" s="1037"/>
      <x:c r="T37" s="269"/>
      <x:c r="U37" s="269"/>
      <x:c r="V37" s="269"/>
      <x:c r="W37" s="269"/>
      <x:c r="X37" s="269"/>
      <x:c r="Y37" s="269"/>
      <x:c r="Z37" s="275"/>
    </x:row>
    <x:row r="38" spans="1:26">
      <x:c r="A38" s="1032"/>
      <x:c r="B38" s="1033"/>
      <x:c r="C38" s="14"/>
      <x:c r="D38" s="262"/>
      <x:c r="E38" s="263"/>
      <x:c r="F38" s="1038"/>
      <x:c r="G38" s="1038"/>
      <x:c r="H38" s="264"/>
      <x:c r="I38" s="1039"/>
      <x:c r="J38" s="1039"/>
      <x:c r="K38" s="265"/>
      <x:c r="L38" s="15" t="str">
        <x:f>O24</x:f>
        <x:v>-</x:v>
      </x:c>
      <x:c r="M38" s="16" t="s">
        <x:v>207</x:v>
      </x:c>
      <x:c r="N38" s="1040" t="s">
        <x:v>418</x:v>
      </x:c>
      <x:c r="O38" s="1040"/>
      <x:c r="P38" s="17" t="s">
        <x:v>207</x:v>
      </x:c>
      <x:c r="Q38" s="1041">
        <x:f>O10</x:f>
        <x:v>0</x:v>
      </x:c>
      <x:c r="R38" s="1041"/>
      <x:c r="S38" s="18"/>
      <x:c r="Z38" s="276"/>
    </x:row>
    <x:row r="39" spans="1:26">
      <x:c r="A39" s="1032"/>
      <x:c r="B39" s="1033"/>
      <x:c r="C39" s="14"/>
      <x:c r="D39" s="266"/>
      <x:c r="E39" s="1046"/>
      <x:c r="F39" s="1046"/>
      <x:c r="G39" s="267"/>
      <x:c r="H39" s="264"/>
      <x:c r="I39" s="264"/>
      <x:c r="J39" s="268"/>
      <x:c r="K39" s="268"/>
      <x:c r="L39" s="283"/>
      <x:c r="M39" s="1047" t="s">
        <x:v>24</x:v>
      </x:c>
      <x:c r="N39" s="1047"/>
      <x:c r="O39" s="284" t="str">
        <x:f>O8</x:f>
        <x:v>-</x:v>
      </x:c>
      <x:c r="P39" s="264" t="s">
        <x:v>201</x:v>
      </x:c>
      <x:c r="Q39" s="264" t="s">
        <x:v>207</x:v>
      </x:c>
      <x:c r="R39" s="285">
        <x:v>1013</x:v>
      </x:c>
      <x:c r="S39" s="285"/>
      <x:c r="Z39" s="276"/>
    </x:row>
    <x:row r="40" spans="1:26">
      <x:c r="A40" s="1044" t="str">
        <x:f>S18</x:f>
        <x:v>-</x:v>
      </x:c>
      <x:c r="B40" s="1031"/>
      <x:c r="C40" s="13"/>
      <x:c r="D40" s="1036"/>
      <x:c r="E40" s="1036"/>
      <x:c r="F40" s="1036"/>
      <x:c r="G40" s="1036"/>
      <x:c r="H40" s="1036"/>
      <x:c r="I40" s="1036"/>
      <x:c r="J40" s="1036"/>
      <x:c r="K40" s="1036"/>
      <x:c r="L40" s="1037" t="str">
        <x:f>S21</x:f>
        <x:v>-</x:v>
      </x:c>
      <x:c r="M40" s="1037"/>
      <x:c r="N40" s="1037"/>
      <x:c r="O40" s="1037"/>
      <x:c r="P40" s="1037"/>
      <x:c r="Q40" s="1037"/>
      <x:c r="R40" s="1037"/>
      <x:c r="S40" s="1037"/>
      <x:c r="T40" s="269"/>
      <x:c r="U40" s="269"/>
      <x:c r="V40" s="269"/>
      <x:c r="W40" s="269"/>
      <x:c r="X40" s="269"/>
      <x:c r="Y40" s="269"/>
      <x:c r="Z40" s="275"/>
    </x:row>
    <x:row r="41" spans="1:26">
      <x:c r="A41" s="1032"/>
      <x:c r="B41" s="1033"/>
      <x:c r="C41" s="14"/>
      <x:c r="D41" s="262"/>
      <x:c r="E41" s="263"/>
      <x:c r="F41" s="1038"/>
      <x:c r="G41" s="1038"/>
      <x:c r="H41" s="264"/>
      <x:c r="I41" s="1039"/>
      <x:c r="J41" s="1039"/>
      <x:c r="K41" s="265"/>
      <x:c r="L41" s="15">
        <x:f>'포집유량 보정'!U12</x:f>
        <x:v>0</x:v>
      </x:c>
      <x:c r="M41" s="16" t="s">
        <x:v>207</x:v>
      </x:c>
      <x:c r="N41" s="1040" t="s">
        <x:v>418</x:v>
      </x:c>
      <x:c r="O41" s="1040"/>
      <x:c r="P41" s="17" t="s">
        <x:v>207</x:v>
      </x:c>
      <x:c r="Q41" s="1041">
        <x:f>'입력2(측정)'!V14</x:f>
        <x:v>0</x:v>
      </x:c>
      <x:c r="R41" s="1041"/>
      <x:c r="S41" s="18"/>
      <x:c r="Z41" s="276"/>
    </x:row>
    <x:row r="42" spans="1:26">
      <x:c r="A42" s="1034"/>
      <x:c r="B42" s="1035"/>
      <x:c r="C42" s="19"/>
      <x:c r="D42" s="270"/>
      <x:c r="E42" s="1042"/>
      <x:c r="F42" s="1042"/>
      <x:c r="G42" s="271"/>
      <x:c r="H42" s="272"/>
      <x:c r="I42" s="272"/>
      <x:c r="J42" s="274"/>
      <x:c r="K42" s="274"/>
      <x:c r="L42" s="20"/>
      <x:c r="M42" s="1043" t="s">
        <x:v>24</x:v>
      </x:c>
      <x:c r="N42" s="1043"/>
      <x:c r="O42" s="21">
        <x:f>'입력2(측정)'!AB14</x:f>
        <x:v>0</x:v>
      </x:c>
      <x:c r="P42" s="272" t="s">
        <x:v>201</x:v>
      </x:c>
      <x:c r="Q42" s="272" t="s">
        <x:v>207</x:v>
      </x:c>
      <x:c r="R42" s="22">
        <x:v>1013</x:v>
      </x:c>
      <x:c r="S42" s="22"/>
      <x:c r="T42" s="106"/>
      <x:c r="U42" s="106"/>
      <x:c r="V42" s="106"/>
      <x:c r="W42" s="106"/>
      <x:c r="X42" s="106"/>
      <x:c r="Y42" s="106"/>
      <x:c r="Z42" s="277"/>
    </x:row>
    <x:row r="43" spans="1:26">
      <x:c r="A43" s="1044" t="str">
        <x:f>W6</x:f>
        <x:v>-</x:v>
      </x:c>
      <x:c r="B43" s="1031"/>
      <x:c r="C43" s="13"/>
      <x:c r="D43" s="1036"/>
      <x:c r="E43" s="1036"/>
      <x:c r="F43" s="1036"/>
      <x:c r="G43" s="1036"/>
      <x:c r="H43" s="1036"/>
      <x:c r="I43" s="1036"/>
      <x:c r="J43" s="1036"/>
      <x:c r="K43" s="1036"/>
      <x:c r="L43" s="1037" t="str">
        <x:f>W21</x:f>
        <x:v>-</x:v>
      </x:c>
      <x:c r="M43" s="1037"/>
      <x:c r="N43" s="1037"/>
      <x:c r="O43" s="1037"/>
      <x:c r="P43" s="1037"/>
      <x:c r="Q43" s="1037"/>
      <x:c r="R43" s="1037"/>
      <x:c r="S43" s="1037"/>
      <x:c r="T43" s="269"/>
      <x:c r="U43" s="269"/>
      <x:c r="V43" s="269"/>
      <x:c r="W43" s="269"/>
      <x:c r="X43" s="269"/>
      <x:c r="Y43" s="269"/>
      <x:c r="Z43" s="275"/>
    </x:row>
    <x:row r="44" spans="1:26">
      <x:c r="A44" s="1032"/>
      <x:c r="B44" s="1033"/>
      <x:c r="C44" s="14"/>
      <x:c r="D44" s="262"/>
      <x:c r="E44" s="263"/>
      <x:c r="F44" s="1038"/>
      <x:c r="G44" s="1038"/>
      <x:c r="H44" s="264"/>
      <x:c r="I44" s="1039"/>
      <x:c r="J44" s="1039"/>
      <x:c r="K44" s="265"/>
      <x:c r="L44" s="15">
        <x:f>'포집유량 보정'!U16</x:f>
        <x:v>0</x:v>
      </x:c>
      <x:c r="M44" s="16" t="s">
        <x:v>207</x:v>
      </x:c>
      <x:c r="N44" s="1040" t="s">
        <x:v>418</x:v>
      </x:c>
      <x:c r="O44" s="1040"/>
      <x:c r="P44" s="17" t="s">
        <x:v>207</x:v>
      </x:c>
      <x:c r="Q44" s="1041">
        <x:f>'입력2(측정)'!V17</x:f>
        <x:v>0</x:v>
      </x:c>
      <x:c r="R44" s="1041"/>
      <x:c r="S44" s="18"/>
      <x:c r="Z44" s="276"/>
    </x:row>
    <x:row r="45" spans="1:26">
      <x:c r="A45" s="1048"/>
      <x:c r="B45" s="1049"/>
      <x:c r="C45" s="23"/>
      <x:c r="D45" s="278"/>
      <x:c r="E45" s="1050"/>
      <x:c r="F45" s="1050"/>
      <x:c r="G45" s="279"/>
      <x:c r="H45" s="26"/>
      <x:c r="I45" s="26"/>
      <x:c r="J45" s="280"/>
      <x:c r="K45" s="280"/>
      <x:c r="L45" s="24"/>
      <x:c r="M45" s="1051" t="s">
        <x:v>24</x:v>
      </x:c>
      <x:c r="N45" s="1051"/>
      <x:c r="O45" s="25">
        <x:f>'입력2(측정)'!AB17</x:f>
        <x:v>0</x:v>
      </x:c>
      <x:c r="P45" s="26" t="s">
        <x:v>201</x:v>
      </x:c>
      <x:c r="Q45" s="26" t="s">
        <x:v>207</x:v>
      </x:c>
      <x:c r="R45" s="27">
        <x:v>1013</x:v>
      </x:c>
      <x:c r="S45" s="27"/>
      <x:c r="T45" s="281"/>
      <x:c r="U45" s="281"/>
      <x:c r="V45" s="281"/>
      <x:c r="W45" s="281"/>
      <x:c r="X45" s="281"/>
      <x:c r="Y45" s="281"/>
      <x:c r="Z45" s="282"/>
    </x:row>
  </x:sheetData>
  <x:mergeCells count="154">
    <x:mergeCell ref="A1:N1"/>
    <x:mergeCell ref="O1:P1"/>
    <x:mergeCell ref="Q1:R1"/>
    <x:mergeCell ref="W1:X1"/>
    <x:mergeCell ref="Y1:Z1"/>
    <x:mergeCell ref="A2:C2"/>
    <x:mergeCell ref="O2:P2"/>
    <x:mergeCell ref="Q2:R2"/>
    <x:mergeCell ref="W2:X2"/>
    <x:mergeCell ref="Y2:Z2"/>
    <x:mergeCell ref="A3:B3"/>
    <x:mergeCell ref="C3:H3"/>
    <x:mergeCell ref="I3:L3"/>
    <x:mergeCell ref="M3:Z3"/>
    <x:mergeCell ref="A4:B4"/>
    <x:mergeCell ref="C4:H4"/>
    <x:mergeCell ref="I4:L4"/>
    <x:mergeCell ref="M4:Z4"/>
    <x:mergeCell ref="A5:B5"/>
    <x:mergeCell ref="C5:H5"/>
    <x:mergeCell ref="I5:L5"/>
    <x:mergeCell ref="M5:Z5"/>
    <x:mergeCell ref="A6:B7"/>
    <x:mergeCell ref="C6:F7"/>
    <x:mergeCell ref="G6:J7"/>
    <x:mergeCell ref="K6:N7"/>
    <x:mergeCell ref="O6:R7"/>
    <x:mergeCell ref="S6:V7"/>
    <x:mergeCell ref="W6:Z7"/>
    <x:mergeCell ref="A8:B8"/>
    <x:mergeCell ref="C8:F8"/>
    <x:mergeCell ref="G8:J8"/>
    <x:mergeCell ref="K8:N8"/>
    <x:mergeCell ref="O8:R8"/>
    <x:mergeCell ref="S8:V8"/>
    <x:mergeCell ref="W8:Z8"/>
    <x:mergeCell ref="A9:B9"/>
    <x:mergeCell ref="C9:F9"/>
    <x:mergeCell ref="G9:J9"/>
    <x:mergeCell ref="K9:N9"/>
    <x:mergeCell ref="O9:R9"/>
    <x:mergeCell ref="S9:V9"/>
    <x:mergeCell ref="W9:Z9"/>
    <x:mergeCell ref="A10:B10"/>
    <x:mergeCell ref="C10:F10"/>
    <x:mergeCell ref="G10:J10"/>
    <x:mergeCell ref="K10:N10"/>
    <x:mergeCell ref="O10:R10"/>
    <x:mergeCell ref="S10:V10"/>
    <x:mergeCell ref="W10:Z10"/>
    <x:mergeCell ref="A12:Z12"/>
    <x:mergeCell ref="A13:R13"/>
    <x:mergeCell ref="A14:R14"/>
    <x:mergeCell ref="A15:Z15"/>
    <x:mergeCell ref="A16:J16"/>
    <x:mergeCell ref="K16:Z16"/>
    <x:mergeCell ref="A17:Z17"/>
    <x:mergeCell ref="A18:B18"/>
    <x:mergeCell ref="C18:F18"/>
    <x:mergeCell ref="G18:J18"/>
    <x:mergeCell ref="O18:R18"/>
    <x:mergeCell ref="S18:V18"/>
    <x:mergeCell ref="W18:Z18"/>
    <x:mergeCell ref="K18:N18"/>
    <x:mergeCell ref="A19:A24"/>
    <x:mergeCell ref="C19:J19"/>
    <x:mergeCell ref="K19:Z19"/>
    <x:mergeCell ref="C20:F20"/>
    <x:mergeCell ref="G20:J20"/>
    <x:mergeCell ref="K20:N20"/>
    <x:mergeCell ref="O20:R20"/>
    <x:mergeCell ref="S20:V20"/>
    <x:mergeCell ref="W20:Z20"/>
    <x:mergeCell ref="C21:F21"/>
    <x:mergeCell ref="G21:J21"/>
    <x:mergeCell ref="K21:N21"/>
    <x:mergeCell ref="O21:R21"/>
    <x:mergeCell ref="S21:V21"/>
    <x:mergeCell ref="W21:Z21"/>
    <x:mergeCell ref="C22:F22"/>
    <x:mergeCell ref="G22:J22"/>
    <x:mergeCell ref="K22:N22"/>
    <x:mergeCell ref="O22:R22"/>
    <x:mergeCell ref="S22:V22"/>
    <x:mergeCell ref="W22:Z22"/>
    <x:mergeCell ref="C23:F23"/>
    <x:mergeCell ref="G23:J23"/>
    <x:mergeCell ref="K23:N23"/>
    <x:mergeCell ref="O23:R23"/>
    <x:mergeCell ref="S23:V23"/>
    <x:mergeCell ref="W23:Z23"/>
    <x:mergeCell ref="C24:F24"/>
    <x:mergeCell ref="G24:J24"/>
    <x:mergeCell ref="K24:N24"/>
    <x:mergeCell ref="O24:R24"/>
    <x:mergeCell ref="S24:V24"/>
    <x:mergeCell ref="W24:Z24"/>
    <x:mergeCell ref="A26:R26"/>
    <x:mergeCell ref="A27:B27"/>
    <x:mergeCell ref="C27:Z27"/>
    <x:mergeCell ref="A28:B30"/>
    <x:mergeCell ref="D28:K28"/>
    <x:mergeCell ref="L28:S28"/>
    <x:mergeCell ref="F29:G29"/>
    <x:mergeCell ref="I29:J29"/>
    <x:mergeCell ref="N29:O29"/>
    <x:mergeCell ref="Q29:R29"/>
    <x:mergeCell ref="E30:F30"/>
    <x:mergeCell ref="M30:N30"/>
    <x:mergeCell ref="A31:B33"/>
    <x:mergeCell ref="D31:K31"/>
    <x:mergeCell ref="L31:S31"/>
    <x:mergeCell ref="F32:G32"/>
    <x:mergeCell ref="I32:J32"/>
    <x:mergeCell ref="N32:O32"/>
    <x:mergeCell ref="Q32:R32"/>
    <x:mergeCell ref="E33:F33"/>
    <x:mergeCell ref="M33:N33"/>
    <x:mergeCell ref="A34:B36"/>
    <x:mergeCell ref="D34:K34"/>
    <x:mergeCell ref="L34:S34"/>
    <x:mergeCell ref="F35:G35"/>
    <x:mergeCell ref="I35:J35"/>
    <x:mergeCell ref="N35:O35"/>
    <x:mergeCell ref="Q35:R35"/>
    <x:mergeCell ref="E36:F36"/>
    <x:mergeCell ref="M36:N36"/>
    <x:mergeCell ref="A37:B39"/>
    <x:mergeCell ref="D37:K37"/>
    <x:mergeCell ref="L37:S37"/>
    <x:mergeCell ref="F38:G38"/>
    <x:mergeCell ref="I38:J38"/>
    <x:mergeCell ref="N38:O38"/>
    <x:mergeCell ref="Q38:R38"/>
    <x:mergeCell ref="E39:F39"/>
    <x:mergeCell ref="M39:N39"/>
    <x:mergeCell ref="A40:B42"/>
    <x:mergeCell ref="D40:K40"/>
    <x:mergeCell ref="L40:S40"/>
    <x:mergeCell ref="F41:G41"/>
    <x:mergeCell ref="I41:J41"/>
    <x:mergeCell ref="N41:O41"/>
    <x:mergeCell ref="Q41:R41"/>
    <x:mergeCell ref="E42:F42"/>
    <x:mergeCell ref="M42:N42"/>
    <x:mergeCell ref="A43:B45"/>
    <x:mergeCell ref="D43:K43"/>
    <x:mergeCell ref="L43:S43"/>
    <x:mergeCell ref="F44:G44"/>
    <x:mergeCell ref="I44:J44"/>
    <x:mergeCell ref="N44:O44"/>
    <x:mergeCell ref="Q44:R44"/>
    <x:mergeCell ref="E45:F45"/>
    <x:mergeCell ref="M45:N45"/>
  </x:mergeCells>
  <x:pageMargins left="0.74805557727813721" right="0.74805557727813721" top="0.98430556058883667" bottom="0.98430556058883667" header="0.51138889789581299" footer="0.51138889789581299"/>
  <x:pageSetup paperSize="9" scale="72" firstPageNumber="1" fitToWidth="0" fitToHeight="0" orientation="portrait" usePrinterDefaults="1" blackAndWhite="0" draft="0" useFirstPageNumber="0" horizontalDpi="600" verticalDpi="600" copies="1"/>
  <x:colBreaks count="1" manualBreakCount="1">
    <x:brk id="26" min="0" max="16383" man="1" pt="0"/>
  </x:colBreaks>
  <x:drawing r:id="rId1"/>
</x:worksheet>
</file>

<file path=xl/worksheets/sheet10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2"/>
  <x:dimension ref="A2:B402"/>
  <x:sheetViews>
    <x:sheetView topLeftCell="A1" zoomScale="70" zoomScaleNormal="70" zoomScaleSheetLayoutView="75" workbookViewId="0">
      <x:selection activeCell="AA19" activeCellId="0" sqref="AA18:AA19"/>
    </x:sheetView>
  </x:sheetViews>
  <x:sheetFormatPr defaultColWidth="9" defaultRowHeight="17.399999999999999"/>
  <x:sheetData>
    <x:row r="2" spans="1:2">
      <x:c r="A2" s="55" t="s">
        <x:v>258</x:v>
      </x:c>
      <x:c r="B2" s="56" t="s">
        <x:v>288</x:v>
      </x:c>
    </x:row>
    <x:row r="3" spans="1:2">
      <x:c r="A3" s="57">
        <x:v>1</x:v>
      </x:c>
      <x:c r="B3" s="58">
        <x:v>1</x:v>
      </x:c>
    </x:row>
    <x:row r="4" spans="1:2">
      <x:c r="A4" s="59">
        <x:v>2</x:v>
      </x:c>
      <x:c r="B4" s="60">
        <x:v>2</x:v>
      </x:c>
    </x:row>
    <x:row r="5" spans="1:2">
      <x:c r="A5" s="59">
        <x:v>3</x:v>
      </x:c>
      <x:c r="B5" s="60">
        <x:v>3</x:v>
      </x:c>
    </x:row>
    <x:row r="6" spans="1:2">
      <x:c r="A6" s="59">
        <x:v>4</x:v>
      </x:c>
      <x:c r="B6" s="60">
        <x:v>4</x:v>
      </x:c>
    </x:row>
    <x:row r="7" spans="1:2">
      <x:c r="A7" s="59">
        <x:v>5</x:v>
      </x:c>
      <x:c r="B7" s="60">
        <x:v>5</x:v>
      </x:c>
    </x:row>
    <x:row r="8" spans="1:2">
      <x:c r="A8" s="59">
        <x:v>6</x:v>
      </x:c>
      <x:c r="B8" s="60">
        <x:v>6</x:v>
      </x:c>
    </x:row>
    <x:row r="9" spans="1:2">
      <x:c r="A9" s="59">
        <x:v>7</x:v>
      </x:c>
      <x:c r="B9" s="60">
        <x:v>7</x:v>
      </x:c>
    </x:row>
    <x:row r="10" spans="1:2">
      <x:c r="A10" s="59">
        <x:v>8</x:v>
      </x:c>
      <x:c r="B10" s="60">
        <x:v>8</x:v>
      </x:c>
    </x:row>
    <x:row r="11" spans="1:2">
      <x:c r="A11" s="59">
        <x:v>9</x:v>
      </x:c>
      <x:c r="B11" s="60">
        <x:v>9</x:v>
      </x:c>
    </x:row>
    <x:row r="12" spans="1:2">
      <x:c r="A12" s="59">
        <x:v>10</x:v>
      </x:c>
      <x:c r="B12" s="60">
        <x:v>10</x:v>
      </x:c>
    </x:row>
    <x:row r="13" spans="1:2">
      <x:c r="A13" s="59">
        <x:v>11</x:v>
      </x:c>
      <x:c r="B13" s="60">
        <x:v>11</x:v>
      </x:c>
    </x:row>
    <x:row r="14" spans="1:2">
      <x:c r="A14" s="59">
        <x:v>12</x:v>
      </x:c>
      <x:c r="B14" s="60">
        <x:v>12</x:v>
      </x:c>
    </x:row>
    <x:row r="15" spans="1:2">
      <x:c r="A15" s="59">
        <x:v>13</x:v>
      </x:c>
      <x:c r="B15" s="60">
        <x:v>13</x:v>
      </x:c>
    </x:row>
    <x:row r="16" spans="1:2">
      <x:c r="A16" s="59">
        <x:v>14</x:v>
      </x:c>
      <x:c r="B16" s="60">
        <x:v>14</x:v>
      </x:c>
    </x:row>
    <x:row r="17" spans="1:2">
      <x:c r="A17" s="59">
        <x:v>15</x:v>
      </x:c>
      <x:c r="B17" s="60">
        <x:v>15</x:v>
      </x:c>
    </x:row>
    <x:row r="18" spans="1:2">
      <x:c r="A18" s="59">
        <x:v>16</x:v>
      </x:c>
      <x:c r="B18" s="60">
        <x:v>16</x:v>
      </x:c>
    </x:row>
    <x:row r="19" spans="1:2">
      <x:c r="A19" s="59">
        <x:v>17</x:v>
      </x:c>
      <x:c r="B19" s="60">
        <x:v>17</x:v>
      </x:c>
    </x:row>
    <x:row r="20" spans="1:2">
      <x:c r="A20" s="59">
        <x:v>18</x:v>
      </x:c>
      <x:c r="B20" s="60">
        <x:v>18</x:v>
      </x:c>
    </x:row>
    <x:row r="21" spans="1:2">
      <x:c r="A21" s="59">
        <x:v>19</x:v>
      </x:c>
      <x:c r="B21" s="60">
        <x:v>19</x:v>
      </x:c>
    </x:row>
    <x:row r="22" spans="1:2">
      <x:c r="A22" s="59">
        <x:v>20</x:v>
      </x:c>
      <x:c r="B22" s="60">
        <x:v>21</x:v>
      </x:c>
    </x:row>
    <x:row r="23" spans="1:2">
      <x:c r="A23" s="59">
        <x:v>21</x:v>
      </x:c>
      <x:c r="B23" s="60">
        <x:v>22</x:v>
      </x:c>
    </x:row>
    <x:row r="24" spans="1:2">
      <x:c r="A24" s="59">
        <x:v>22</x:v>
      </x:c>
      <x:c r="B24" s="60">
        <x:v>23</x:v>
      </x:c>
    </x:row>
    <x:row r="25" spans="1:2">
      <x:c r="A25" s="59">
        <x:v>23</x:v>
      </x:c>
      <x:c r="B25" s="60">
        <x:v>24</x:v>
      </x:c>
    </x:row>
    <x:row r="26" spans="1:2">
      <x:c r="A26" s="59">
        <x:v>24</x:v>
      </x:c>
      <x:c r="B26" s="60">
        <x:v>25</x:v>
      </x:c>
    </x:row>
    <x:row r="27" spans="1:2">
      <x:c r="A27" s="59">
        <x:v>25</x:v>
      </x:c>
      <x:c r="B27" s="60">
        <x:v>26</x:v>
      </x:c>
    </x:row>
    <x:row r="28" spans="1:2">
      <x:c r="A28" s="59">
        <x:v>26</x:v>
      </x:c>
      <x:c r="B28" s="60">
        <x:v>27</x:v>
      </x:c>
    </x:row>
    <x:row r="29" spans="1:2">
      <x:c r="A29" s="59">
        <x:v>27</x:v>
      </x:c>
      <x:c r="B29" s="60">
        <x:v>28</x:v>
      </x:c>
    </x:row>
    <x:row r="30" spans="1:2">
      <x:c r="A30" s="59">
        <x:v>28</x:v>
      </x:c>
      <x:c r="B30" s="60">
        <x:v>29</x:v>
      </x:c>
    </x:row>
    <x:row r="31" spans="1:2">
      <x:c r="A31" s="59">
        <x:v>29</x:v>
      </x:c>
      <x:c r="B31" s="60">
        <x:v>30</x:v>
      </x:c>
    </x:row>
    <x:row r="32" spans="1:2">
      <x:c r="A32" s="59">
        <x:v>30</x:v>
      </x:c>
      <x:c r="B32" s="60">
        <x:v>31</x:v>
      </x:c>
    </x:row>
    <x:row r="33" spans="1:2">
      <x:c r="A33" s="59">
        <x:v>31</x:v>
      </x:c>
      <x:c r="B33" s="60">
        <x:v>32</x:v>
      </x:c>
    </x:row>
    <x:row r="34" spans="1:2">
      <x:c r="A34" s="59">
        <x:v>32</x:v>
      </x:c>
      <x:c r="B34" s="60">
        <x:v>33</x:v>
      </x:c>
    </x:row>
    <x:row r="35" spans="1:2">
      <x:c r="A35" s="59">
        <x:v>33</x:v>
      </x:c>
      <x:c r="B35" s="60">
        <x:v>34</x:v>
      </x:c>
    </x:row>
    <x:row r="36" spans="1:2">
      <x:c r="A36" s="59">
        <x:v>34</x:v>
      </x:c>
      <x:c r="B36" s="60">
        <x:v>36</x:v>
      </x:c>
    </x:row>
    <x:row r="37" spans="1:2">
      <x:c r="A37" s="59">
        <x:v>35</x:v>
      </x:c>
      <x:c r="B37" s="60">
        <x:v>37</x:v>
      </x:c>
    </x:row>
    <x:row r="38" spans="1:2">
      <x:c r="A38" s="59">
        <x:v>36</x:v>
      </x:c>
      <x:c r="B38" s="60">
        <x:v>38</x:v>
      </x:c>
    </x:row>
    <x:row r="39" spans="1:2">
      <x:c r="A39" s="59">
        <x:v>37</x:v>
      </x:c>
      <x:c r="B39" s="60">
        <x:v>39</x:v>
      </x:c>
    </x:row>
    <x:row r="40" spans="1:2">
      <x:c r="A40" s="59">
        <x:v>38</x:v>
      </x:c>
      <x:c r="B40" s="60">
        <x:v>40</x:v>
      </x:c>
    </x:row>
    <x:row r="41" spans="1:2">
      <x:c r="A41" s="59">
        <x:v>39</x:v>
      </x:c>
      <x:c r="B41" s="60">
        <x:v>41</x:v>
      </x:c>
    </x:row>
    <x:row r="42" spans="1:2">
      <x:c r="A42" s="59">
        <x:v>40</x:v>
      </x:c>
      <x:c r="B42" s="60">
        <x:v>42</x:v>
      </x:c>
    </x:row>
    <x:row r="43" spans="1:2">
      <x:c r="A43" s="59">
        <x:v>41</x:v>
      </x:c>
      <x:c r="B43" s="60">
        <x:v>43</x:v>
      </x:c>
    </x:row>
    <x:row r="44" spans="1:2">
      <x:c r="A44" s="59">
        <x:v>42</x:v>
      </x:c>
      <x:c r="B44" s="60">
        <x:v>44</x:v>
      </x:c>
    </x:row>
    <x:row r="45" spans="1:2">
      <x:c r="A45" s="59">
        <x:v>43</x:v>
      </x:c>
      <x:c r="B45" s="60">
        <x:v>45</x:v>
      </x:c>
    </x:row>
    <x:row r="46" spans="1:2">
      <x:c r="A46" s="59">
        <x:v>44</x:v>
      </x:c>
      <x:c r="B46" s="60">
        <x:v>47</x:v>
      </x:c>
    </x:row>
    <x:row r="47" spans="1:2">
      <x:c r="A47" s="59">
        <x:v>45</x:v>
      </x:c>
      <x:c r="B47" s="60">
        <x:v>48</x:v>
      </x:c>
    </x:row>
    <x:row r="48" spans="1:2">
      <x:c r="A48" s="59">
        <x:v>46</x:v>
      </x:c>
      <x:c r="B48" s="60">
        <x:v>49</x:v>
      </x:c>
    </x:row>
    <x:row r="49" spans="1:2">
      <x:c r="A49" s="59">
        <x:v>47</x:v>
      </x:c>
      <x:c r="B49" s="60">
        <x:v>50</x:v>
      </x:c>
    </x:row>
    <x:row r="50" spans="1:2">
      <x:c r="A50" s="59">
        <x:v>48</x:v>
      </x:c>
      <x:c r="B50" s="60">
        <x:v>51</x:v>
      </x:c>
    </x:row>
    <x:row r="51" spans="1:2">
      <x:c r="A51" s="59">
        <x:v>49</x:v>
      </x:c>
      <x:c r="B51" s="60">
        <x:v>52</x:v>
      </x:c>
    </x:row>
    <x:row r="52" spans="1:2">
      <x:c r="A52" s="61">
        <x:v>50</x:v>
      </x:c>
      <x:c r="B52" s="62">
        <x:v>53</x:v>
      </x:c>
    </x:row>
    <x:row r="53" spans="1:2">
      <x:c r="A53" s="57">
        <x:v>51</x:v>
      </x:c>
      <x:c r="B53" s="58">
        <x:v>55</x:v>
      </x:c>
    </x:row>
    <x:row r="54" spans="1:2">
      <x:c r="A54" s="59">
        <x:v>52</x:v>
      </x:c>
      <x:c r="B54" s="60">
        <x:v>56</x:v>
      </x:c>
    </x:row>
    <x:row r="55" spans="1:2">
      <x:c r="A55" s="59">
        <x:v>53</x:v>
      </x:c>
      <x:c r="B55" s="60">
        <x:v>57</x:v>
      </x:c>
    </x:row>
    <x:row r="56" spans="1:2">
      <x:c r="A56" s="59">
        <x:v>54</x:v>
      </x:c>
      <x:c r="B56" s="60">
        <x:v>58</x:v>
      </x:c>
    </x:row>
    <x:row r="57" spans="1:2">
      <x:c r="A57" s="59">
        <x:v>55</x:v>
      </x:c>
      <x:c r="B57" s="60">
        <x:v>59</x:v>
      </x:c>
    </x:row>
    <x:row r="58" spans="1:2">
      <x:c r="A58" s="59">
        <x:v>56</x:v>
      </x:c>
      <x:c r="B58" s="60">
        <x:v>60</x:v>
      </x:c>
    </x:row>
    <x:row r="59" spans="1:2">
      <x:c r="A59" s="59">
        <x:v>57</x:v>
      </x:c>
      <x:c r="B59" s="60">
        <x:v>61</x:v>
      </x:c>
    </x:row>
    <x:row r="60" spans="1:2">
      <x:c r="A60" s="59">
        <x:v>58</x:v>
      </x:c>
      <x:c r="B60" s="60">
        <x:v>63</x:v>
      </x:c>
    </x:row>
    <x:row r="61" spans="1:2">
      <x:c r="A61" s="59">
        <x:v>59</x:v>
      </x:c>
      <x:c r="B61" s="60">
        <x:v>64</x:v>
      </x:c>
    </x:row>
    <x:row r="62" spans="1:2">
      <x:c r="A62" s="59">
        <x:v>60</x:v>
      </x:c>
      <x:c r="B62" s="60">
        <x:v>65</x:v>
      </x:c>
    </x:row>
    <x:row r="63" spans="1:2">
      <x:c r="A63" s="59">
        <x:v>61</x:v>
      </x:c>
      <x:c r="B63" s="60">
        <x:v>66</x:v>
      </x:c>
    </x:row>
    <x:row r="64" spans="1:2">
      <x:c r="A64" s="59">
        <x:v>62</x:v>
      </x:c>
      <x:c r="B64" s="60">
        <x:v>67</x:v>
      </x:c>
    </x:row>
    <x:row r="65" spans="1:2">
      <x:c r="A65" s="59">
        <x:v>63</x:v>
      </x:c>
      <x:c r="B65" s="60">
        <x:v>69</x:v>
      </x:c>
    </x:row>
    <x:row r="66" spans="1:2">
      <x:c r="A66" s="59">
        <x:v>64</x:v>
      </x:c>
      <x:c r="B66" s="60">
        <x:v>70</x:v>
      </x:c>
    </x:row>
    <x:row r="67" spans="1:2">
      <x:c r="A67" s="59">
        <x:v>65</x:v>
      </x:c>
      <x:c r="B67" s="60">
        <x:v>71</x:v>
      </x:c>
    </x:row>
    <x:row r="68" spans="1:2">
      <x:c r="A68" s="59">
        <x:v>66</x:v>
      </x:c>
      <x:c r="B68" s="60">
        <x:v>72</x:v>
      </x:c>
    </x:row>
    <x:row r="69" spans="1:2">
      <x:c r="A69" s="59">
        <x:v>67</x:v>
      </x:c>
      <x:c r="B69" s="60">
        <x:v>73</x:v>
      </x:c>
    </x:row>
    <x:row r="70" spans="1:2">
      <x:c r="A70" s="59">
        <x:v>68</x:v>
      </x:c>
      <x:c r="B70" s="60">
        <x:v>75</x:v>
      </x:c>
    </x:row>
    <x:row r="71" spans="1:2">
      <x:c r="A71" s="59">
        <x:v>69</x:v>
      </x:c>
      <x:c r="B71" s="60">
        <x:v>76</x:v>
      </x:c>
    </x:row>
    <x:row r="72" spans="1:2">
      <x:c r="A72" s="59">
        <x:v>70</x:v>
      </x:c>
      <x:c r="B72" s="60">
        <x:v>77</x:v>
      </x:c>
    </x:row>
    <x:row r="73" spans="1:2">
      <x:c r="A73" s="59">
        <x:v>71</x:v>
      </x:c>
      <x:c r="B73" s="60">
        <x:v>78</x:v>
      </x:c>
    </x:row>
    <x:row r="74" spans="1:2">
      <x:c r="A74" s="59">
        <x:v>72</x:v>
      </x:c>
      <x:c r="B74" s="60">
        <x:v>79</x:v>
      </x:c>
    </x:row>
    <x:row r="75" spans="1:2">
      <x:c r="A75" s="59">
        <x:v>73</x:v>
      </x:c>
      <x:c r="B75" s="60">
        <x:v>81</x:v>
      </x:c>
    </x:row>
    <x:row r="76" spans="1:2">
      <x:c r="A76" s="59">
        <x:v>74</x:v>
      </x:c>
      <x:c r="B76" s="60">
        <x:v>82</x:v>
      </x:c>
    </x:row>
    <x:row r="77" spans="1:2">
      <x:c r="A77" s="59">
        <x:v>75</x:v>
      </x:c>
      <x:c r="B77" s="60">
        <x:v>83</x:v>
      </x:c>
    </x:row>
    <x:row r="78" spans="1:2">
      <x:c r="A78" s="59">
        <x:v>76</x:v>
      </x:c>
      <x:c r="B78" s="60">
        <x:v>84</x:v>
      </x:c>
    </x:row>
    <x:row r="79" spans="1:2">
      <x:c r="A79" s="59">
        <x:v>77</x:v>
      </x:c>
      <x:c r="B79" s="60">
        <x:v>86</x:v>
      </x:c>
    </x:row>
    <x:row r="80" spans="1:2">
      <x:c r="A80" s="59">
        <x:v>78</x:v>
      </x:c>
      <x:c r="B80" s="60">
        <x:v>87</x:v>
      </x:c>
    </x:row>
    <x:row r="81" spans="1:2">
      <x:c r="A81" s="59">
        <x:v>79</x:v>
      </x:c>
      <x:c r="B81" s="60">
        <x:v>88</x:v>
      </x:c>
    </x:row>
    <x:row r="82" spans="1:2">
      <x:c r="A82" s="59">
        <x:v>80</x:v>
      </x:c>
      <x:c r="B82" s="60">
        <x:v>89</x:v>
      </x:c>
    </x:row>
    <x:row r="83" spans="1:2">
      <x:c r="A83" s="59">
        <x:v>81</x:v>
      </x:c>
      <x:c r="B83" s="60">
        <x:v>91</x:v>
      </x:c>
    </x:row>
    <x:row r="84" spans="1:2">
      <x:c r="A84" s="59">
        <x:v>82</x:v>
      </x:c>
      <x:c r="B84" s="60">
        <x:v>92</x:v>
      </x:c>
    </x:row>
    <x:row r="85" spans="1:2">
      <x:c r="A85" s="59">
        <x:v>83</x:v>
      </x:c>
      <x:c r="B85" s="60">
        <x:v>93</x:v>
      </x:c>
    </x:row>
    <x:row r="86" spans="1:2">
      <x:c r="A86" s="59">
        <x:v>84</x:v>
      </x:c>
      <x:c r="B86" s="60">
        <x:v>94</x:v>
      </x:c>
    </x:row>
    <x:row r="87" spans="1:2">
      <x:c r="A87" s="59">
        <x:v>85</x:v>
      </x:c>
      <x:c r="B87" s="60">
        <x:v>96</x:v>
      </x:c>
    </x:row>
    <x:row r="88" spans="1:2">
      <x:c r="A88" s="59">
        <x:v>86</x:v>
      </x:c>
      <x:c r="B88" s="60">
        <x:v>97</x:v>
      </x:c>
    </x:row>
    <x:row r="89" spans="1:2">
      <x:c r="A89" s="59">
        <x:v>87</x:v>
      </x:c>
      <x:c r="B89" s="60">
        <x:v>98</x:v>
      </x:c>
    </x:row>
    <x:row r="90" spans="1:2">
      <x:c r="A90" s="59">
        <x:v>88</x:v>
      </x:c>
      <x:c r="B90" s="60">
        <x:v>99</x:v>
      </x:c>
    </x:row>
    <x:row r="91" spans="1:2">
      <x:c r="A91" s="59">
        <x:v>89</x:v>
      </x:c>
      <x:c r="B91" s="60">
        <x:v>101</x:v>
      </x:c>
    </x:row>
    <x:row r="92" spans="1:2">
      <x:c r="A92" s="59">
        <x:v>90</x:v>
      </x:c>
      <x:c r="B92" s="60">
        <x:v>102</x:v>
      </x:c>
    </x:row>
    <x:row r="93" spans="1:2">
      <x:c r="A93" s="59">
        <x:v>91</x:v>
      </x:c>
      <x:c r="B93" s="60">
        <x:v>103</x:v>
      </x:c>
    </x:row>
    <x:row r="94" spans="1:2">
      <x:c r="A94" s="59">
        <x:v>92</x:v>
      </x:c>
      <x:c r="B94" s="60">
        <x:v>105</x:v>
      </x:c>
    </x:row>
    <x:row r="95" spans="1:2">
      <x:c r="A95" s="59">
        <x:v>93</x:v>
      </x:c>
      <x:c r="B95" s="60">
        <x:v>106</x:v>
      </x:c>
    </x:row>
    <x:row r="96" spans="1:2">
      <x:c r="A96" s="59">
        <x:v>94</x:v>
      </x:c>
      <x:c r="B96" s="60">
        <x:v>107</x:v>
      </x:c>
    </x:row>
    <x:row r="97" spans="1:2">
      <x:c r="A97" s="59">
        <x:v>95</x:v>
      </x:c>
      <x:c r="B97" s="60">
        <x:v>108</x:v>
      </x:c>
    </x:row>
    <x:row r="98" spans="1:2">
      <x:c r="A98" s="59">
        <x:v>96</x:v>
      </x:c>
      <x:c r="B98" s="60">
        <x:v>110</x:v>
      </x:c>
    </x:row>
    <x:row r="99" spans="1:2">
      <x:c r="A99" s="59">
        <x:v>97</x:v>
      </x:c>
      <x:c r="B99" s="60">
        <x:v>111</x:v>
      </x:c>
    </x:row>
    <x:row r="100" spans="1:2">
      <x:c r="A100" s="59">
        <x:v>98</x:v>
      </x:c>
      <x:c r="B100" s="60">
        <x:v>112</x:v>
      </x:c>
    </x:row>
    <x:row r="101" spans="1:2">
      <x:c r="A101" s="59">
        <x:v>99</x:v>
      </x:c>
      <x:c r="B101" s="60">
        <x:v>114</x:v>
      </x:c>
    </x:row>
    <x:row r="102" spans="1:2">
      <x:c r="A102" s="61">
        <x:v>100</x:v>
      </x:c>
      <x:c r="B102" s="62">
        <x:v>115</x:v>
      </x:c>
    </x:row>
    <x:row r="103" spans="1:2">
      <x:c r="A103" s="57">
        <x:v>101</x:v>
      </x:c>
      <x:c r="B103" s="58">
        <x:v>116</x:v>
      </x:c>
    </x:row>
    <x:row r="104" spans="1:2">
      <x:c r="A104" s="59">
        <x:v>102</x:v>
      </x:c>
      <x:c r="B104" s="60">
        <x:v>118</x:v>
      </x:c>
    </x:row>
    <x:row r="105" spans="1:2">
      <x:c r="A105" s="59">
        <x:v>103</x:v>
      </x:c>
      <x:c r="B105" s="60">
        <x:v>119</x:v>
      </x:c>
    </x:row>
    <x:row r="106" spans="1:2">
      <x:c r="A106" s="59">
        <x:v>104</x:v>
      </x:c>
      <x:c r="B106" s="60">
        <x:v>120</x:v>
      </x:c>
    </x:row>
    <x:row r="107" spans="1:2">
      <x:c r="A107" s="59">
        <x:v>105</x:v>
      </x:c>
      <x:c r="B107" s="60">
        <x:v>122</x:v>
      </x:c>
    </x:row>
    <x:row r="108" spans="1:2">
      <x:c r="A108" s="59">
        <x:v>106</x:v>
      </x:c>
      <x:c r="B108" s="60">
        <x:v>123</x:v>
      </x:c>
    </x:row>
    <x:row r="109" spans="1:2">
      <x:c r="A109" s="59">
        <x:v>107</x:v>
      </x:c>
      <x:c r="B109" s="60">
        <x:v>124</x:v>
      </x:c>
    </x:row>
    <x:row r="110" spans="1:2">
      <x:c r="A110" s="59">
        <x:v>108</x:v>
      </x:c>
      <x:c r="B110" s="60">
        <x:v>126</x:v>
      </x:c>
    </x:row>
    <x:row r="111" spans="1:2">
      <x:c r="A111" s="59">
        <x:v>109</x:v>
      </x:c>
      <x:c r="B111" s="60">
        <x:v>127</x:v>
      </x:c>
    </x:row>
    <x:row r="112" spans="1:2">
      <x:c r="A112" s="59">
        <x:v>110</x:v>
      </x:c>
      <x:c r="B112" s="60">
        <x:v>128</x:v>
      </x:c>
    </x:row>
    <x:row r="113" spans="1:2">
      <x:c r="A113" s="59">
        <x:v>111</x:v>
      </x:c>
      <x:c r="B113" s="60">
        <x:v>130</x:v>
      </x:c>
    </x:row>
    <x:row r="114" spans="1:2">
      <x:c r="A114" s="59">
        <x:v>112</x:v>
      </x:c>
      <x:c r="B114" s="60">
        <x:v>131</x:v>
      </x:c>
    </x:row>
    <x:row r="115" spans="1:2">
      <x:c r="A115" s="59">
        <x:v>113</x:v>
      </x:c>
      <x:c r="B115" s="60">
        <x:v>133</x:v>
      </x:c>
    </x:row>
    <x:row r="116" spans="1:2">
      <x:c r="A116" s="59">
        <x:v>114</x:v>
      </x:c>
      <x:c r="B116" s="60">
        <x:v>134</x:v>
      </x:c>
    </x:row>
    <x:row r="117" spans="1:2">
      <x:c r="A117" s="59">
        <x:v>115</x:v>
      </x:c>
      <x:c r="B117" s="60">
        <x:v>136</x:v>
      </x:c>
    </x:row>
    <x:row r="118" spans="1:2">
      <x:c r="A118" s="59">
        <x:v>116</x:v>
      </x:c>
      <x:c r="B118" s="60">
        <x:v>137</x:v>
      </x:c>
    </x:row>
    <x:row r="119" spans="1:2">
      <x:c r="A119" s="59">
        <x:v>117</x:v>
      </x:c>
      <x:c r="B119" s="60">
        <x:v>138</x:v>
      </x:c>
    </x:row>
    <x:row r="120" spans="1:2">
      <x:c r="A120" s="59">
        <x:v>118</x:v>
      </x:c>
      <x:c r="B120" s="60">
        <x:v>140</x:v>
      </x:c>
    </x:row>
    <x:row r="121" spans="1:2">
      <x:c r="A121" s="59">
        <x:v>119</x:v>
      </x:c>
      <x:c r="B121" s="60">
        <x:v>141</x:v>
      </x:c>
    </x:row>
    <x:row r="122" spans="1:2">
      <x:c r="A122" s="59">
        <x:v>120</x:v>
      </x:c>
      <x:c r="B122" s="60">
        <x:v>143</x:v>
      </x:c>
    </x:row>
    <x:row r="123" spans="1:2">
      <x:c r="A123" s="59">
        <x:v>121</x:v>
      </x:c>
      <x:c r="B123" s="60">
        <x:v>144</x:v>
      </x:c>
    </x:row>
    <x:row r="124" spans="1:2">
      <x:c r="A124" s="59">
        <x:v>122</x:v>
      </x:c>
      <x:c r="B124" s="60">
        <x:v>146</x:v>
      </x:c>
    </x:row>
    <x:row r="125" spans="1:2">
      <x:c r="A125" s="59">
        <x:v>123</x:v>
      </x:c>
      <x:c r="B125" s="60">
        <x:v>147</x:v>
      </x:c>
    </x:row>
    <x:row r="126" spans="1:2">
      <x:c r="A126" s="59">
        <x:v>124</x:v>
      </x:c>
      <x:c r="B126" s="60">
        <x:v>148</x:v>
      </x:c>
    </x:row>
    <x:row r="127" spans="1:2">
      <x:c r="A127" s="59">
        <x:v>125</x:v>
      </x:c>
      <x:c r="B127" s="60">
        <x:v>150</x:v>
      </x:c>
    </x:row>
    <x:row r="128" spans="1:2">
      <x:c r="A128" s="59">
        <x:v>126</x:v>
      </x:c>
      <x:c r="B128" s="60">
        <x:v>151</x:v>
      </x:c>
    </x:row>
    <x:row r="129" spans="1:2">
      <x:c r="A129" s="59">
        <x:v>127</x:v>
      </x:c>
      <x:c r="B129" s="60">
        <x:v>153</x:v>
      </x:c>
    </x:row>
    <x:row r="130" spans="1:2">
      <x:c r="A130" s="59">
        <x:v>128</x:v>
      </x:c>
      <x:c r="B130" s="60">
        <x:v>154</x:v>
      </x:c>
    </x:row>
    <x:row r="131" spans="1:2">
      <x:c r="A131" s="59">
        <x:v>129</x:v>
      </x:c>
      <x:c r="B131" s="60">
        <x:v>156</x:v>
      </x:c>
    </x:row>
    <x:row r="132" spans="1:2">
      <x:c r="A132" s="59">
        <x:v>130</x:v>
      </x:c>
      <x:c r="B132" s="60">
        <x:v>157</x:v>
      </x:c>
    </x:row>
    <x:row r="133" spans="1:2">
      <x:c r="A133" s="59">
        <x:v>131</x:v>
      </x:c>
      <x:c r="B133" s="60">
        <x:v>159</x:v>
      </x:c>
    </x:row>
    <x:row r="134" spans="1:2">
      <x:c r="A134" s="59">
        <x:v>132</x:v>
      </x:c>
      <x:c r="B134" s="60">
        <x:v>160</x:v>
      </x:c>
    </x:row>
    <x:row r="135" spans="1:2">
      <x:c r="A135" s="59">
        <x:v>133</x:v>
      </x:c>
      <x:c r="B135" s="60">
        <x:v>162</x:v>
      </x:c>
    </x:row>
    <x:row r="136" spans="1:2">
      <x:c r="A136" s="59">
        <x:v>134</x:v>
      </x:c>
      <x:c r="B136" s="60">
        <x:v>163</x:v>
      </x:c>
    </x:row>
    <x:row r="137" spans="1:2">
      <x:c r="A137" s="59">
        <x:v>135</x:v>
      </x:c>
      <x:c r="B137" s="60">
        <x:v>165</x:v>
      </x:c>
    </x:row>
    <x:row r="138" spans="1:2">
      <x:c r="A138" s="59">
        <x:v>136</x:v>
      </x:c>
      <x:c r="B138" s="60">
        <x:v>166</x:v>
      </x:c>
    </x:row>
    <x:row r="139" spans="1:2">
      <x:c r="A139" s="59">
        <x:v>137</x:v>
      </x:c>
      <x:c r="B139" s="60">
        <x:v>168</x:v>
      </x:c>
    </x:row>
    <x:row r="140" spans="1:2">
      <x:c r="A140" s="59">
        <x:v>138</x:v>
      </x:c>
      <x:c r="B140" s="60">
        <x:v>169</x:v>
      </x:c>
    </x:row>
    <x:row r="141" spans="1:2">
      <x:c r="A141" s="59">
        <x:v>139</x:v>
      </x:c>
      <x:c r="B141" s="60">
        <x:v>171</x:v>
      </x:c>
    </x:row>
    <x:row r="142" spans="1:2">
      <x:c r="A142" s="59">
        <x:v>140</x:v>
      </x:c>
      <x:c r="B142" s="60">
        <x:v>172</x:v>
      </x:c>
    </x:row>
    <x:row r="143" spans="1:2">
      <x:c r="A143" s="59">
        <x:v>141</x:v>
      </x:c>
      <x:c r="B143" s="60">
        <x:v>174</x:v>
      </x:c>
    </x:row>
    <x:row r="144" spans="1:2">
      <x:c r="A144" s="59">
        <x:v>142</x:v>
      </x:c>
      <x:c r="B144" s="60">
        <x:v>175</x:v>
      </x:c>
    </x:row>
    <x:row r="145" spans="1:2">
      <x:c r="A145" s="59">
        <x:v>143</x:v>
      </x:c>
      <x:c r="B145" s="60">
        <x:v>177</x:v>
      </x:c>
    </x:row>
    <x:row r="146" spans="1:2">
      <x:c r="A146" s="59">
        <x:v>144</x:v>
      </x:c>
      <x:c r="B146" s="60">
        <x:v>179</x:v>
      </x:c>
    </x:row>
    <x:row r="147" spans="1:2">
      <x:c r="A147" s="59">
        <x:v>145</x:v>
      </x:c>
      <x:c r="B147" s="60">
        <x:v>180</x:v>
      </x:c>
    </x:row>
    <x:row r="148" spans="1:2">
      <x:c r="A148" s="59">
        <x:v>146</x:v>
      </x:c>
      <x:c r="B148" s="60">
        <x:v>182</x:v>
      </x:c>
    </x:row>
    <x:row r="149" spans="1:2">
      <x:c r="A149" s="59">
        <x:v>147</x:v>
      </x:c>
      <x:c r="B149" s="60">
        <x:v>183</x:v>
      </x:c>
    </x:row>
    <x:row r="150" spans="1:2">
      <x:c r="A150" s="59">
        <x:v>148</x:v>
      </x:c>
      <x:c r="B150" s="60">
        <x:v>185</x:v>
      </x:c>
    </x:row>
    <x:row r="151" spans="1:2">
      <x:c r="A151" s="59">
        <x:v>149</x:v>
      </x:c>
      <x:c r="B151" s="60">
        <x:v>186</x:v>
      </x:c>
    </x:row>
    <x:row r="152" spans="1:2">
      <x:c r="A152" s="61">
        <x:v>150</x:v>
      </x:c>
      <x:c r="B152" s="62">
        <x:v>188</x:v>
      </x:c>
    </x:row>
    <x:row r="153" spans="1:2">
      <x:c r="A153" s="57">
        <x:v>151</x:v>
      </x:c>
      <x:c r="B153" s="58">
        <x:v>190</x:v>
      </x:c>
    </x:row>
    <x:row r="154" spans="1:2">
      <x:c r="A154" s="59">
        <x:v>152</x:v>
      </x:c>
      <x:c r="B154" s="60">
        <x:v>191</x:v>
      </x:c>
    </x:row>
    <x:row r="155" spans="1:2">
      <x:c r="A155" s="59">
        <x:v>153</x:v>
      </x:c>
      <x:c r="B155" s="60">
        <x:v>193</x:v>
      </x:c>
    </x:row>
    <x:row r="156" spans="1:2">
      <x:c r="A156" s="59">
        <x:v>154</x:v>
      </x:c>
      <x:c r="B156" s="60">
        <x:v>194</x:v>
      </x:c>
    </x:row>
    <x:row r="157" spans="1:2">
      <x:c r="A157" s="59">
        <x:v>155</x:v>
      </x:c>
      <x:c r="B157" s="60">
        <x:v>196</x:v>
      </x:c>
    </x:row>
    <x:row r="158" spans="1:2">
      <x:c r="A158" s="59">
        <x:v>156</x:v>
      </x:c>
      <x:c r="B158" s="60">
        <x:v>198</x:v>
      </x:c>
    </x:row>
    <x:row r="159" spans="1:2">
      <x:c r="A159" s="59">
        <x:v>157</x:v>
      </x:c>
      <x:c r="B159" s="60">
        <x:v>199</x:v>
      </x:c>
    </x:row>
    <x:row r="160" spans="1:2">
      <x:c r="A160" s="59">
        <x:v>158</x:v>
      </x:c>
      <x:c r="B160" s="60">
        <x:v>201</x:v>
      </x:c>
    </x:row>
    <x:row r="161" spans="1:2">
      <x:c r="A161" s="59">
        <x:v>159</x:v>
      </x:c>
      <x:c r="B161" s="60">
        <x:v>203</x:v>
      </x:c>
    </x:row>
    <x:row r="162" spans="1:2">
      <x:c r="A162" s="59">
        <x:v>160</x:v>
      </x:c>
      <x:c r="B162" s="60">
        <x:v>204</x:v>
      </x:c>
    </x:row>
    <x:row r="163" spans="1:2">
      <x:c r="A163" s="59">
        <x:v>161</x:v>
      </x:c>
      <x:c r="B163" s="60">
        <x:v>206</x:v>
      </x:c>
    </x:row>
    <x:row r="164" spans="1:2">
      <x:c r="A164" s="59">
        <x:v>162</x:v>
      </x:c>
      <x:c r="B164" s="60">
        <x:v>208</x:v>
      </x:c>
    </x:row>
    <x:row r="165" spans="1:2">
      <x:c r="A165" s="59">
        <x:v>163</x:v>
      </x:c>
      <x:c r="B165" s="60">
        <x:v>209</x:v>
      </x:c>
    </x:row>
    <x:row r="166" spans="1:2">
      <x:c r="A166" s="59">
        <x:v>164</x:v>
      </x:c>
      <x:c r="B166" s="60">
        <x:v>211</x:v>
      </x:c>
    </x:row>
    <x:row r="167" spans="1:2">
      <x:c r="A167" s="59">
        <x:v>165</x:v>
      </x:c>
      <x:c r="B167" s="60">
        <x:v>213</x:v>
      </x:c>
    </x:row>
    <x:row r="168" spans="1:2">
      <x:c r="A168" s="59">
        <x:v>166</x:v>
      </x:c>
      <x:c r="B168" s="60">
        <x:v>214</x:v>
      </x:c>
    </x:row>
    <x:row r="169" spans="1:2">
      <x:c r="A169" s="59">
        <x:v>167</x:v>
      </x:c>
      <x:c r="B169" s="60">
        <x:v>216</x:v>
      </x:c>
    </x:row>
    <x:row r="170" spans="1:2">
      <x:c r="A170" s="59">
        <x:v>168</x:v>
      </x:c>
      <x:c r="B170" s="60">
        <x:v>218</x:v>
      </x:c>
    </x:row>
    <x:row r="171" spans="1:2">
      <x:c r="A171" s="59">
        <x:v>169</x:v>
      </x:c>
      <x:c r="B171" s="60">
        <x:v>220</x:v>
      </x:c>
    </x:row>
    <x:row r="172" spans="1:2">
      <x:c r="A172" s="59">
        <x:v>170</x:v>
      </x:c>
      <x:c r="B172" s="60">
        <x:v>221</x:v>
      </x:c>
    </x:row>
    <x:row r="173" spans="1:2">
      <x:c r="A173" s="59">
        <x:v>171</x:v>
      </x:c>
      <x:c r="B173" s="60">
        <x:v>223</x:v>
      </x:c>
    </x:row>
    <x:row r="174" spans="1:2">
      <x:c r="A174" s="59">
        <x:v>172</x:v>
      </x:c>
      <x:c r="B174" s="60">
        <x:v>225</x:v>
      </x:c>
    </x:row>
    <x:row r="175" spans="1:2">
      <x:c r="A175" s="59">
        <x:v>173</x:v>
      </x:c>
      <x:c r="B175" s="60">
        <x:v>227</x:v>
      </x:c>
    </x:row>
    <x:row r="176" spans="1:2">
      <x:c r="A176" s="59">
        <x:v>174</x:v>
      </x:c>
      <x:c r="B176" s="60">
        <x:v>228</x:v>
      </x:c>
    </x:row>
    <x:row r="177" spans="1:2">
      <x:c r="A177" s="59">
        <x:v>175</x:v>
      </x:c>
      <x:c r="B177" s="60">
        <x:v>230</x:v>
      </x:c>
    </x:row>
    <x:row r="178" spans="1:2">
      <x:c r="A178" s="59">
        <x:v>176</x:v>
      </x:c>
      <x:c r="B178" s="60">
        <x:v>232</x:v>
      </x:c>
    </x:row>
    <x:row r="179" spans="1:2">
      <x:c r="A179" s="59">
        <x:v>177</x:v>
      </x:c>
      <x:c r="B179" s="60">
        <x:v>234</x:v>
      </x:c>
    </x:row>
    <x:row r="180" spans="1:2">
      <x:c r="A180" s="59">
        <x:v>178</x:v>
      </x:c>
      <x:c r="B180" s="60">
        <x:v>236</x:v>
      </x:c>
    </x:row>
    <x:row r="181" spans="1:2">
      <x:c r="A181" s="59">
        <x:v>179</x:v>
      </x:c>
      <x:c r="B181" s="60">
        <x:v>237</x:v>
      </x:c>
    </x:row>
    <x:row r="182" spans="1:2">
      <x:c r="A182" s="59">
        <x:v>180</x:v>
      </x:c>
      <x:c r="B182" s="60">
        <x:v>239</x:v>
      </x:c>
    </x:row>
    <x:row r="183" spans="1:2">
      <x:c r="A183" s="59">
        <x:v>181</x:v>
      </x:c>
      <x:c r="B183" s="60">
        <x:v>241</x:v>
      </x:c>
    </x:row>
    <x:row r="184" spans="1:2">
      <x:c r="A184" s="59">
        <x:v>182</x:v>
      </x:c>
      <x:c r="B184" s="60">
        <x:v>243</x:v>
      </x:c>
    </x:row>
    <x:row r="185" spans="1:2">
      <x:c r="A185" s="59">
        <x:v>183</x:v>
      </x:c>
      <x:c r="B185" s="60">
        <x:v>245</x:v>
      </x:c>
    </x:row>
    <x:row r="186" spans="1:2">
      <x:c r="A186" s="59">
        <x:v>184</x:v>
      </x:c>
      <x:c r="B186" s="60">
        <x:v>246</x:v>
      </x:c>
    </x:row>
    <x:row r="187" spans="1:2">
      <x:c r="A187" s="59">
        <x:v>185</x:v>
      </x:c>
      <x:c r="B187" s="60">
        <x:v>248</x:v>
      </x:c>
    </x:row>
    <x:row r="188" spans="1:2">
      <x:c r="A188" s="59">
        <x:v>186</x:v>
      </x:c>
      <x:c r="B188" s="60">
        <x:v>250</x:v>
      </x:c>
    </x:row>
    <x:row r="189" spans="1:2">
      <x:c r="A189" s="59">
        <x:v>187</x:v>
      </x:c>
      <x:c r="B189" s="60">
        <x:v>252</x:v>
      </x:c>
    </x:row>
    <x:row r="190" spans="1:2">
      <x:c r="A190" s="59">
        <x:v>188</x:v>
      </x:c>
      <x:c r="B190" s="60">
        <x:v>254</x:v>
      </x:c>
    </x:row>
    <x:row r="191" spans="1:2">
      <x:c r="A191" s="59">
        <x:v>189</x:v>
      </x:c>
      <x:c r="B191" s="60">
        <x:v>256</x:v>
      </x:c>
    </x:row>
    <x:row r="192" spans="1:2">
      <x:c r="A192" s="59">
        <x:v>190</x:v>
      </x:c>
      <x:c r="B192" s="60">
        <x:v>258</x:v>
      </x:c>
    </x:row>
    <x:row r="193" spans="1:2">
      <x:c r="A193" s="59">
        <x:v>191</x:v>
      </x:c>
      <x:c r="B193" s="60">
        <x:v>260</x:v>
      </x:c>
    </x:row>
    <x:row r="194" spans="1:2">
      <x:c r="A194" s="59">
        <x:v>192</x:v>
      </x:c>
      <x:c r="B194" s="60">
        <x:v>262</x:v>
      </x:c>
    </x:row>
    <x:row r="195" spans="1:2">
      <x:c r="A195" s="59">
        <x:v>193</x:v>
      </x:c>
      <x:c r="B195" s="60">
        <x:v>263</x:v>
      </x:c>
    </x:row>
    <x:row r="196" spans="1:2">
      <x:c r="A196" s="59">
        <x:v>194</x:v>
      </x:c>
      <x:c r="B196" s="60">
        <x:v>265</x:v>
      </x:c>
    </x:row>
    <x:row r="197" spans="1:2">
      <x:c r="A197" s="59">
        <x:v>195</x:v>
      </x:c>
      <x:c r="B197" s="60">
        <x:v>267</x:v>
      </x:c>
    </x:row>
    <x:row r="198" spans="1:2">
      <x:c r="A198" s="59">
        <x:v>196</x:v>
      </x:c>
      <x:c r="B198" s="60">
        <x:v>269</x:v>
      </x:c>
    </x:row>
    <x:row r="199" spans="1:2">
      <x:c r="A199" s="59">
        <x:v>197</x:v>
      </x:c>
      <x:c r="B199" s="60">
        <x:v>271</x:v>
      </x:c>
    </x:row>
    <x:row r="200" spans="1:2">
      <x:c r="A200" s="59">
        <x:v>198</x:v>
      </x:c>
      <x:c r="B200" s="60">
        <x:v>273</x:v>
      </x:c>
    </x:row>
    <x:row r="201" spans="1:2">
      <x:c r="A201" s="59">
        <x:v>199</x:v>
      </x:c>
      <x:c r="B201" s="60">
        <x:v>275</x:v>
      </x:c>
    </x:row>
    <x:row r="202" spans="1:2">
      <x:c r="A202" s="61">
        <x:v>200</x:v>
      </x:c>
      <x:c r="B202" s="62">
        <x:v>277</x:v>
      </x:c>
    </x:row>
    <x:row r="203" spans="1:2">
      <x:c r="A203" s="57">
        <x:v>201</x:v>
      </x:c>
      <x:c r="B203" s="58">
        <x:v>279</x:v>
      </x:c>
    </x:row>
    <x:row r="204" spans="1:2">
      <x:c r="A204" s="59">
        <x:v>202</x:v>
      </x:c>
      <x:c r="B204" s="60">
        <x:v>281</x:v>
      </x:c>
    </x:row>
    <x:row r="205" spans="1:2">
      <x:c r="A205" s="59">
        <x:v>203</x:v>
      </x:c>
      <x:c r="B205" s="60">
        <x:v>283</x:v>
      </x:c>
    </x:row>
    <x:row r="206" spans="1:2">
      <x:c r="A206" s="59">
        <x:v>204</x:v>
      </x:c>
      <x:c r="B206" s="60">
        <x:v>285</x:v>
      </x:c>
    </x:row>
    <x:row r="207" spans="1:2">
      <x:c r="A207" s="59">
        <x:v>205</x:v>
      </x:c>
      <x:c r="B207" s="60">
        <x:v>287</x:v>
      </x:c>
    </x:row>
    <x:row r="208" spans="1:2">
      <x:c r="A208" s="59">
        <x:v>206</x:v>
      </x:c>
      <x:c r="B208" s="60">
        <x:v>289</x:v>
      </x:c>
    </x:row>
    <x:row r="209" spans="1:2">
      <x:c r="A209" s="59">
        <x:v>207</x:v>
      </x:c>
      <x:c r="B209" s="60">
        <x:v>292</x:v>
      </x:c>
    </x:row>
    <x:row r="210" spans="1:2">
      <x:c r="A210" s="59">
        <x:v>208</x:v>
      </x:c>
      <x:c r="B210" s="60">
        <x:v>294</x:v>
      </x:c>
    </x:row>
    <x:row r="211" spans="1:2">
      <x:c r="A211" s="59">
        <x:v>2029</x:v>
      </x:c>
      <x:c r="B211" s="60">
        <x:v>296</x:v>
      </x:c>
    </x:row>
    <x:row r="212" spans="1:2">
      <x:c r="A212" s="59">
        <x:v>210</x:v>
      </x:c>
      <x:c r="B212" s="60">
        <x:v>298</x:v>
      </x:c>
    </x:row>
    <x:row r="213" spans="1:2">
      <x:c r="A213" s="59">
        <x:v>211</x:v>
      </x:c>
      <x:c r="B213" s="60">
        <x:v>300</x:v>
      </x:c>
    </x:row>
    <x:row r="214" spans="1:2">
      <x:c r="A214" s="59">
        <x:v>212</x:v>
      </x:c>
      <x:c r="B214" s="60">
        <x:v>302</x:v>
      </x:c>
    </x:row>
    <x:row r="215" spans="1:2">
      <x:c r="A215" s="59">
        <x:v>213</x:v>
      </x:c>
      <x:c r="B215" s="60">
        <x:v>304</x:v>
      </x:c>
    </x:row>
    <x:row r="216" spans="1:2">
      <x:c r="A216" s="59">
        <x:v>214</x:v>
      </x:c>
      <x:c r="B216" s="60">
        <x:v>306</x:v>
      </x:c>
    </x:row>
    <x:row r="217" spans="1:2">
      <x:c r="A217" s="59">
        <x:v>215</x:v>
      </x:c>
      <x:c r="B217" s="60">
        <x:v>308</x:v>
      </x:c>
    </x:row>
    <x:row r="218" spans="1:2">
      <x:c r="A218" s="59">
        <x:v>216</x:v>
      </x:c>
      <x:c r="B218" s="60">
        <x:v>311</x:v>
      </x:c>
    </x:row>
    <x:row r="219" spans="1:2">
      <x:c r="A219" s="59">
        <x:v>217</x:v>
      </x:c>
      <x:c r="B219" s="60">
        <x:v>313</x:v>
      </x:c>
    </x:row>
    <x:row r="220" spans="1:2">
      <x:c r="A220" s="59">
        <x:v>218</x:v>
      </x:c>
      <x:c r="B220" s="60">
        <x:v>315</x:v>
      </x:c>
    </x:row>
    <x:row r="221" spans="1:2">
      <x:c r="A221" s="59">
        <x:v>219</x:v>
      </x:c>
      <x:c r="B221" s="60">
        <x:v>317</x:v>
      </x:c>
    </x:row>
    <x:row r="222" spans="1:2">
      <x:c r="A222" s="59">
        <x:v>220</x:v>
      </x:c>
      <x:c r="B222" s="60">
        <x:v>319</x:v>
      </x:c>
    </x:row>
    <x:row r="223" spans="1:2">
      <x:c r="A223" s="59">
        <x:v>221</x:v>
      </x:c>
      <x:c r="B223" s="60">
        <x:v>322</x:v>
      </x:c>
    </x:row>
    <x:row r="224" spans="1:2">
      <x:c r="A224" s="59">
        <x:v>222</x:v>
      </x:c>
      <x:c r="B224" s="60">
        <x:v>324</x:v>
      </x:c>
    </x:row>
    <x:row r="225" spans="1:2">
      <x:c r="A225" s="59">
        <x:v>223</x:v>
      </x:c>
      <x:c r="B225" s="60">
        <x:v>326</x:v>
      </x:c>
    </x:row>
    <x:row r="226" spans="1:2">
      <x:c r="A226" s="59">
        <x:v>224</x:v>
      </x:c>
      <x:c r="B226" s="60">
        <x:v>328</x:v>
      </x:c>
    </x:row>
    <x:row r="227" spans="1:2">
      <x:c r="A227" s="59">
        <x:v>225</x:v>
      </x:c>
      <x:c r="B227" s="60">
        <x:v>331</x:v>
      </x:c>
    </x:row>
    <x:row r="228" spans="1:2">
      <x:c r="A228" s="59">
        <x:v>226</x:v>
      </x:c>
      <x:c r="B228" s="60">
        <x:v>333</x:v>
      </x:c>
    </x:row>
    <x:row r="229" spans="1:2">
      <x:c r="A229" s="59">
        <x:v>227</x:v>
      </x:c>
      <x:c r="B229" s="60">
        <x:v>335</x:v>
      </x:c>
    </x:row>
    <x:row r="230" spans="1:2">
      <x:c r="A230" s="59">
        <x:v>228</x:v>
      </x:c>
      <x:c r="B230" s="60">
        <x:v>338</x:v>
      </x:c>
    </x:row>
    <x:row r="231" spans="1:2">
      <x:c r="A231" s="59">
        <x:v>229</x:v>
      </x:c>
      <x:c r="B231" s="60">
        <x:v>340</x:v>
      </x:c>
    </x:row>
    <x:row r="232" spans="1:2">
      <x:c r="A232" s="59">
        <x:v>230</x:v>
      </x:c>
      <x:c r="B232" s="60">
        <x:v>342</x:v>
      </x:c>
    </x:row>
    <x:row r="233" spans="1:2">
      <x:c r="A233" s="59">
        <x:v>231</x:v>
      </x:c>
      <x:c r="B233" s="60">
        <x:v>345</x:v>
      </x:c>
    </x:row>
    <x:row r="234" spans="1:2">
      <x:c r="A234" s="59">
        <x:v>232</x:v>
      </x:c>
      <x:c r="B234" s="60">
        <x:v>347</x:v>
      </x:c>
    </x:row>
    <x:row r="235" spans="1:2">
      <x:c r="A235" s="59">
        <x:v>233</x:v>
      </x:c>
      <x:c r="B235" s="60">
        <x:v>349</x:v>
      </x:c>
    </x:row>
    <x:row r="236" spans="1:2">
      <x:c r="A236" s="59">
        <x:v>234</x:v>
      </x:c>
      <x:c r="B236" s="60">
        <x:v>352</x:v>
      </x:c>
    </x:row>
    <x:row r="237" spans="1:2">
      <x:c r="A237" s="59">
        <x:v>235</x:v>
      </x:c>
      <x:c r="B237" s="60">
        <x:v>354</x:v>
      </x:c>
    </x:row>
    <x:row r="238" spans="1:2">
      <x:c r="A238" s="59">
        <x:v>236</x:v>
      </x:c>
      <x:c r="B238" s="60">
        <x:v>357</x:v>
      </x:c>
    </x:row>
    <x:row r="239" spans="1:2">
      <x:c r="A239" s="59">
        <x:v>237</x:v>
      </x:c>
      <x:c r="B239" s="60">
        <x:v>359</x:v>
      </x:c>
    </x:row>
    <x:row r="240" spans="1:2">
      <x:c r="A240" s="59">
        <x:v>238</x:v>
      </x:c>
      <x:c r="B240" s="60">
        <x:v>362</x:v>
      </x:c>
    </x:row>
    <x:row r="241" spans="1:2">
      <x:c r="A241" s="59">
        <x:v>239</x:v>
      </x:c>
      <x:c r="B241" s="60">
        <x:v>364</x:v>
      </x:c>
    </x:row>
    <x:row r="242" spans="1:2">
      <x:c r="A242" s="59">
        <x:v>240</x:v>
      </x:c>
      <x:c r="B242" s="60">
        <x:v>367</x:v>
      </x:c>
    </x:row>
    <x:row r="243" spans="1:2">
      <x:c r="A243" s="59">
        <x:v>241</x:v>
      </x:c>
      <x:c r="B243" s="60">
        <x:v>369</x:v>
      </x:c>
    </x:row>
    <x:row r="244" spans="1:2">
      <x:c r="A244" s="59">
        <x:v>242</x:v>
      </x:c>
      <x:c r="B244" s="60">
        <x:v>372</x:v>
      </x:c>
    </x:row>
    <x:row r="245" spans="1:2">
      <x:c r="A245" s="59">
        <x:v>243</x:v>
      </x:c>
      <x:c r="B245" s="60">
        <x:v>374</x:v>
      </x:c>
    </x:row>
    <x:row r="246" spans="1:2">
      <x:c r="A246" s="59">
        <x:v>244</x:v>
      </x:c>
      <x:c r="B246" s="60">
        <x:v>377</x:v>
      </x:c>
    </x:row>
    <x:row r="247" spans="1:2">
      <x:c r="A247" s="59">
        <x:v>245</x:v>
      </x:c>
      <x:c r="B247" s="60">
        <x:v>379</x:v>
      </x:c>
    </x:row>
    <x:row r="248" spans="1:2">
      <x:c r="A248" s="59">
        <x:v>246</x:v>
      </x:c>
      <x:c r="B248" s="60">
        <x:v>382</x:v>
      </x:c>
    </x:row>
    <x:row r="249" spans="1:2">
      <x:c r="A249" s="59">
        <x:v>247</x:v>
      </x:c>
      <x:c r="B249" s="60">
        <x:v>384</x:v>
      </x:c>
    </x:row>
    <x:row r="250" spans="1:2">
      <x:c r="A250" s="59">
        <x:v>248</x:v>
      </x:c>
      <x:c r="B250" s="60">
        <x:v>387</x:v>
      </x:c>
    </x:row>
    <x:row r="251" spans="1:2">
      <x:c r="A251" s="59">
        <x:v>249</x:v>
      </x:c>
      <x:c r="B251" s="60">
        <x:v>390</x:v>
      </x:c>
    </x:row>
    <x:row r="252" spans="1:2">
      <x:c r="A252" s="61">
        <x:v>250</x:v>
      </x:c>
      <x:c r="B252" s="62">
        <x:v>392</x:v>
      </x:c>
    </x:row>
    <x:row r="253" spans="1:2">
      <x:c r="A253" s="57">
        <x:v>251</x:v>
      </x:c>
      <x:c r="B253" s="58">
        <x:v>395</x:v>
      </x:c>
    </x:row>
    <x:row r="254" spans="1:2">
      <x:c r="A254" s="59">
        <x:v>252</x:v>
      </x:c>
      <x:c r="B254" s="60">
        <x:v>398</x:v>
      </x:c>
    </x:row>
    <x:row r="255" spans="1:2">
      <x:c r="A255" s="59">
        <x:v>253</x:v>
      </x:c>
      <x:c r="B255" s="60">
        <x:v>400</x:v>
      </x:c>
    </x:row>
    <x:row r="256" spans="1:2">
      <x:c r="A256" s="59">
        <x:v>254</x:v>
      </x:c>
      <x:c r="B256" s="60">
        <x:v>403</x:v>
      </x:c>
    </x:row>
    <x:row r="257" spans="1:2">
      <x:c r="A257" s="59">
        <x:v>255</x:v>
      </x:c>
      <x:c r="B257" s="60">
        <x:v>406</x:v>
      </x:c>
    </x:row>
    <x:row r="258" spans="1:2">
      <x:c r="A258" s="59">
        <x:v>256</x:v>
      </x:c>
      <x:c r="B258" s="60">
        <x:v>409</x:v>
      </x:c>
    </x:row>
    <x:row r="259" spans="1:2">
      <x:c r="A259" s="59">
        <x:v>257</x:v>
      </x:c>
      <x:c r="B259" s="60">
        <x:v>411</x:v>
      </x:c>
    </x:row>
    <x:row r="260" spans="1:2">
      <x:c r="A260" s="59">
        <x:v>258</x:v>
      </x:c>
      <x:c r="B260" s="60">
        <x:v>414</x:v>
      </x:c>
    </x:row>
    <x:row r="261" spans="1:2">
      <x:c r="A261" s="59">
        <x:v>259</x:v>
      </x:c>
      <x:c r="B261" s="60">
        <x:v>417</x:v>
      </x:c>
    </x:row>
    <x:row r="262" spans="1:2">
      <x:c r="A262" s="59">
        <x:v>260</x:v>
      </x:c>
      <x:c r="B262" s="60">
        <x:v>420</x:v>
      </x:c>
    </x:row>
    <x:row r="263" spans="1:2">
      <x:c r="A263" s="59">
        <x:v>261</x:v>
      </x:c>
      <x:c r="B263" s="60">
        <x:v>423</x:v>
      </x:c>
    </x:row>
    <x:row r="264" spans="1:2">
      <x:c r="A264" s="59">
        <x:v>262</x:v>
      </x:c>
      <x:c r="B264" s="60">
        <x:v>426</x:v>
      </x:c>
    </x:row>
    <x:row r="265" spans="1:2">
      <x:c r="A265" s="59">
        <x:v>263</x:v>
      </x:c>
      <x:c r="B265" s="60">
        <x:v>429</x:v>
      </x:c>
    </x:row>
    <x:row r="266" spans="1:2">
      <x:c r="A266" s="59">
        <x:v>264</x:v>
      </x:c>
      <x:c r="B266" s="60">
        <x:v>432</x:v>
      </x:c>
    </x:row>
    <x:row r="267" spans="1:2">
      <x:c r="A267" s="59">
        <x:v>265</x:v>
      </x:c>
      <x:c r="B267" s="60">
        <x:v>434</x:v>
      </x:c>
    </x:row>
    <x:row r="268" spans="1:2">
      <x:c r="A268" s="59">
        <x:v>266</x:v>
      </x:c>
      <x:c r="B268" s="60">
        <x:v>437</x:v>
      </x:c>
    </x:row>
    <x:row r="269" spans="1:2">
      <x:c r="A269" s="59">
        <x:v>267</x:v>
      </x:c>
      <x:c r="B269" s="60">
        <x:v>440</x:v>
      </x:c>
    </x:row>
    <x:row r="270" spans="1:2">
      <x:c r="A270" s="59">
        <x:v>268</x:v>
      </x:c>
      <x:c r="B270" s="60">
        <x:v>443</x:v>
      </x:c>
    </x:row>
    <x:row r="271" spans="1:2">
      <x:c r="A271" s="59">
        <x:v>269</x:v>
      </x:c>
      <x:c r="B271" s="60">
        <x:v>447</x:v>
      </x:c>
    </x:row>
    <x:row r="272" spans="1:2">
      <x:c r="A272" s="59">
        <x:v>270</x:v>
      </x:c>
      <x:c r="B272" s="60">
        <x:v>450</x:v>
      </x:c>
    </x:row>
    <x:row r="273" spans="1:2">
      <x:c r="A273" s="59">
        <x:v>271</x:v>
      </x:c>
      <x:c r="B273" s="60">
        <x:v>453</x:v>
      </x:c>
    </x:row>
    <x:row r="274" spans="1:2">
      <x:c r="A274" s="59">
        <x:v>272</x:v>
      </x:c>
      <x:c r="B274" s="60">
        <x:v>456</x:v>
      </x:c>
    </x:row>
    <x:row r="275" spans="1:2">
      <x:c r="A275" s="59">
        <x:v>273</x:v>
      </x:c>
      <x:c r="B275" s="60">
        <x:v>459</x:v>
      </x:c>
    </x:row>
    <x:row r="276" spans="1:2">
      <x:c r="A276" s="59">
        <x:v>274</x:v>
      </x:c>
      <x:c r="B276" s="60">
        <x:v>462</x:v>
      </x:c>
    </x:row>
    <x:row r="277" spans="1:2">
      <x:c r="A277" s="59">
        <x:v>275</x:v>
      </x:c>
      <x:c r="B277" s="60">
        <x:v>465</x:v>
      </x:c>
    </x:row>
    <x:row r="278" spans="1:2">
      <x:c r="A278" s="59">
        <x:v>276</x:v>
      </x:c>
      <x:c r="B278" s="60">
        <x:v>468</x:v>
      </x:c>
    </x:row>
    <x:row r="279" spans="1:2">
      <x:c r="A279" s="59">
        <x:v>277</x:v>
      </x:c>
      <x:c r="B279" s="60">
        <x:v>472</x:v>
      </x:c>
    </x:row>
    <x:row r="280" spans="1:2">
      <x:c r="A280" s="59">
        <x:v>278</x:v>
      </x:c>
      <x:c r="B280" s="60">
        <x:v>475</x:v>
      </x:c>
    </x:row>
    <x:row r="281" spans="1:2">
      <x:c r="A281" s="59">
        <x:v>279</x:v>
      </x:c>
      <x:c r="B281" s="60">
        <x:v>478</x:v>
      </x:c>
    </x:row>
    <x:row r="282" spans="1:2">
      <x:c r="A282" s="59">
        <x:v>280</x:v>
      </x:c>
      <x:c r="B282" s="60">
        <x:v>482</x:v>
      </x:c>
    </x:row>
    <x:row r="283" spans="1:2">
      <x:c r="A283" s="59">
        <x:v>281</x:v>
      </x:c>
      <x:c r="B283" s="60">
        <x:v>485</x:v>
      </x:c>
    </x:row>
    <x:row r="284" spans="1:2">
      <x:c r="A284" s="59">
        <x:v>282</x:v>
      </x:c>
      <x:c r="B284" s="60">
        <x:v>488</x:v>
      </x:c>
    </x:row>
    <x:row r="285" spans="1:2">
      <x:c r="A285" s="59">
        <x:v>283</x:v>
      </x:c>
      <x:c r="B285" s="60">
        <x:v>492</x:v>
      </x:c>
    </x:row>
    <x:row r="286" spans="1:2">
      <x:c r="A286" s="59">
        <x:v>284</x:v>
      </x:c>
      <x:c r="B286" s="60">
        <x:v>495</x:v>
      </x:c>
    </x:row>
    <x:row r="287" spans="1:2">
      <x:c r="A287" s="59">
        <x:v>285</x:v>
      </x:c>
      <x:c r="B287" s="60">
        <x:v>499</x:v>
      </x:c>
    </x:row>
    <x:row r="288" spans="1:2">
      <x:c r="A288" s="59">
        <x:v>286</x:v>
      </x:c>
      <x:c r="B288" s="60">
        <x:v>502</x:v>
      </x:c>
    </x:row>
    <x:row r="289" spans="1:2">
      <x:c r="A289" s="59">
        <x:v>287</x:v>
      </x:c>
      <x:c r="B289" s="60">
        <x:v>505</x:v>
      </x:c>
    </x:row>
    <x:row r="290" spans="1:2">
      <x:c r="A290" s="59">
        <x:v>288</x:v>
      </x:c>
      <x:c r="B290" s="60">
        <x:v>508</x:v>
      </x:c>
    </x:row>
    <x:row r="291" spans="1:2">
      <x:c r="A291" s="59">
        <x:v>289</x:v>
      </x:c>
      <x:c r="B291" s="60">
        <x:v>513</x:v>
      </x:c>
    </x:row>
    <x:row r="292" spans="1:2">
      <x:c r="A292" s="59">
        <x:v>290</x:v>
      </x:c>
      <x:c r="B292" s="60">
        <x:v>516</x:v>
      </x:c>
    </x:row>
    <x:row r="293" spans="1:2">
      <x:c r="A293" s="59">
        <x:v>291</x:v>
      </x:c>
      <x:c r="B293" s="60">
        <x:v>520</x:v>
      </x:c>
    </x:row>
    <x:row r="294" spans="1:2">
      <x:c r="A294" s="59">
        <x:v>292</x:v>
      </x:c>
      <x:c r="B294" s="60">
        <x:v>524</x:v>
      </x:c>
    </x:row>
    <x:row r="295" spans="1:2">
      <x:c r="A295" s="59">
        <x:v>293</x:v>
      </x:c>
      <x:c r="B295" s="60">
        <x:v>527</x:v>
      </x:c>
    </x:row>
    <x:row r="296" spans="1:2">
      <x:c r="A296" s="59">
        <x:v>294</x:v>
      </x:c>
      <x:c r="B296" s="60">
        <x:v>531</x:v>
      </x:c>
    </x:row>
    <x:row r="297" spans="1:2">
      <x:c r="A297" s="59">
        <x:v>295</x:v>
      </x:c>
      <x:c r="B297" s="60">
        <x:v>535</x:v>
      </x:c>
    </x:row>
    <x:row r="298" spans="1:2">
      <x:c r="A298" s="59">
        <x:v>296</x:v>
      </x:c>
      <x:c r="B298" s="60">
        <x:v>539</x:v>
      </x:c>
    </x:row>
    <x:row r="299" spans="1:2">
      <x:c r="A299" s="59">
        <x:v>297</x:v>
      </x:c>
      <x:c r="B299" s="60">
        <x:v>543</x:v>
      </x:c>
    </x:row>
    <x:row r="300" spans="1:2">
      <x:c r="A300" s="59">
        <x:v>298</x:v>
      </x:c>
      <x:c r="B300" s="60">
        <x:v>547</x:v>
      </x:c>
    </x:row>
    <x:row r="301" spans="1:2">
      <x:c r="A301" s="59">
        <x:v>299</x:v>
      </x:c>
      <x:c r="B301" s="60">
        <x:v>551</x:v>
      </x:c>
    </x:row>
    <x:row r="302" spans="1:2">
      <x:c r="A302" s="61">
        <x:v>300</x:v>
      </x:c>
      <x:c r="B302" s="62">
        <x:v>555</x:v>
      </x:c>
    </x:row>
    <x:row r="303" spans="1:2">
      <x:c r="A303" s="57">
        <x:v>301</x:v>
      </x:c>
      <x:c r="B303" s="58">
        <x:v>559</x:v>
      </x:c>
    </x:row>
    <x:row r="304" spans="1:2">
      <x:c r="A304" s="59">
        <x:v>302</x:v>
      </x:c>
      <x:c r="B304" s="60">
        <x:v>563</x:v>
      </x:c>
    </x:row>
    <x:row r="305" spans="1:2">
      <x:c r="A305" s="59">
        <x:v>303</x:v>
      </x:c>
      <x:c r="B305" s="60">
        <x:v>567</x:v>
      </x:c>
    </x:row>
    <x:row r="306" spans="1:2">
      <x:c r="A306" s="59">
        <x:v>304</x:v>
      </x:c>
      <x:c r="B306" s="60">
        <x:v>571</x:v>
      </x:c>
    </x:row>
    <x:row r="307" spans="1:2">
      <x:c r="A307" s="59">
        <x:v>305</x:v>
      </x:c>
      <x:c r="B307" s="60">
        <x:v>575</x:v>
      </x:c>
    </x:row>
    <x:row r="308" spans="1:2">
      <x:c r="A308" s="59">
        <x:v>306</x:v>
      </x:c>
      <x:c r="B308" s="60">
        <x:v>579</x:v>
      </x:c>
    </x:row>
    <x:row r="309" spans="1:2">
      <x:c r="A309" s="59">
        <x:v>307</x:v>
      </x:c>
      <x:c r="B309" s="60">
        <x:v>584</x:v>
      </x:c>
    </x:row>
    <x:row r="310" spans="1:2">
      <x:c r="A310" s="59">
        <x:v>308</x:v>
      </x:c>
      <x:c r="B310" s="60">
        <x:v>588</x:v>
      </x:c>
    </x:row>
    <x:row r="311" spans="1:2">
      <x:c r="A311" s="59">
        <x:v>309</x:v>
      </x:c>
      <x:c r="B311" s="60">
        <x:v>592</x:v>
      </x:c>
    </x:row>
    <x:row r="312" spans="1:2">
      <x:c r="A312" s="59">
        <x:v>310</x:v>
      </x:c>
      <x:c r="B312" s="60">
        <x:v>597</x:v>
      </x:c>
    </x:row>
    <x:row r="313" spans="1:2">
      <x:c r="A313" s="59">
        <x:v>311</x:v>
      </x:c>
      <x:c r="B313" s="60">
        <x:v>601</x:v>
      </x:c>
    </x:row>
    <x:row r="314" spans="1:2">
      <x:c r="A314" s="59">
        <x:v>312</x:v>
      </x:c>
      <x:c r="B314" s="60">
        <x:v>606</x:v>
      </x:c>
    </x:row>
    <x:row r="315" spans="1:2">
      <x:c r="A315" s="59">
        <x:v>313</x:v>
      </x:c>
      <x:c r="B315" s="60">
        <x:v>610</x:v>
      </x:c>
    </x:row>
    <x:row r="316" spans="1:2">
      <x:c r="A316" s="59">
        <x:v>314</x:v>
      </x:c>
      <x:c r="B316" s="60">
        <x:v>615</x:v>
      </x:c>
    </x:row>
    <x:row r="317" spans="1:2">
      <x:c r="A317" s="59">
        <x:v>315</x:v>
      </x:c>
      <x:c r="B317" s="60">
        <x:v>620</x:v>
      </x:c>
    </x:row>
    <x:row r="318" spans="1:2">
      <x:c r="A318" s="59">
        <x:v>316</x:v>
      </x:c>
      <x:c r="B318" s="60">
        <x:v>624</x:v>
      </x:c>
    </x:row>
    <x:row r="319" spans="1:2">
      <x:c r="A319" s="59">
        <x:v>317</x:v>
      </x:c>
      <x:c r="B319" s="60">
        <x:v>629</x:v>
      </x:c>
    </x:row>
    <x:row r="320" spans="1:2">
      <x:c r="A320" s="59">
        <x:v>318</x:v>
      </x:c>
      <x:c r="B320" s="60">
        <x:v>634</x:v>
      </x:c>
    </x:row>
    <x:row r="321" spans="1:2">
      <x:c r="A321" s="59">
        <x:v>319</x:v>
      </x:c>
      <x:c r="B321" s="60">
        <x:v>639</x:v>
      </x:c>
    </x:row>
    <x:row r="322" spans="1:2">
      <x:c r="A322" s="59">
        <x:v>320</x:v>
      </x:c>
      <x:c r="B322" s="60">
        <x:v>644</x:v>
      </x:c>
    </x:row>
    <x:row r="323" spans="1:2">
      <x:c r="A323" s="59">
        <x:v>321</x:v>
      </x:c>
      <x:c r="B323" s="60">
        <x:v>649</x:v>
      </x:c>
    </x:row>
    <x:row r="324" spans="1:2">
      <x:c r="A324" s="59">
        <x:v>322</x:v>
      </x:c>
      <x:c r="B324" s="60">
        <x:v>654</x:v>
      </x:c>
    </x:row>
    <x:row r="325" spans="1:2">
      <x:c r="A325" s="59">
        <x:v>323</x:v>
      </x:c>
      <x:c r="B325" s="60">
        <x:v>659</x:v>
      </x:c>
    </x:row>
    <x:row r="326" spans="1:2">
      <x:c r="A326" s="59">
        <x:v>324</x:v>
      </x:c>
      <x:c r="B326" s="60">
        <x:v>664</x:v>
      </x:c>
    </x:row>
    <x:row r="327" spans="1:2">
      <x:c r="A327" s="59">
        <x:v>325</x:v>
      </x:c>
      <x:c r="B327" s="60">
        <x:v>670</x:v>
      </x:c>
    </x:row>
    <x:row r="328" spans="1:2">
      <x:c r="A328" s="59">
        <x:v>326</x:v>
      </x:c>
      <x:c r="B328" s="60">
        <x:v>675</x:v>
      </x:c>
    </x:row>
    <x:row r="329" spans="1:2">
      <x:c r="A329" s="59">
        <x:v>327</x:v>
      </x:c>
      <x:c r="B329" s="60">
        <x:v>680</x:v>
      </x:c>
    </x:row>
    <x:row r="330" spans="1:2">
      <x:c r="A330" s="59">
        <x:v>328</x:v>
      </x:c>
      <x:c r="B330" s="60">
        <x:v>686</x:v>
      </x:c>
    </x:row>
    <x:row r="331" spans="1:2">
      <x:c r="A331" s="59">
        <x:v>329</x:v>
      </x:c>
      <x:c r="B331" s="60">
        <x:v>692</x:v>
      </x:c>
    </x:row>
    <x:row r="332" spans="1:2">
      <x:c r="A332" s="59">
        <x:v>330</x:v>
      </x:c>
      <x:c r="B332" s="60">
        <x:v>697</x:v>
      </x:c>
    </x:row>
    <x:row r="333" spans="1:2">
      <x:c r="A333" s="59">
        <x:v>331</x:v>
      </x:c>
      <x:c r="B333" s="60">
        <x:v>703</x:v>
      </x:c>
    </x:row>
    <x:row r="334" spans="1:2">
      <x:c r="A334" s="59">
        <x:v>332</x:v>
      </x:c>
      <x:c r="B334" s="60">
        <x:v>709</x:v>
      </x:c>
    </x:row>
    <x:row r="335" spans="1:2">
      <x:c r="A335" s="59">
        <x:v>333</x:v>
      </x:c>
      <x:c r="B335" s="60">
        <x:v>715</x:v>
      </x:c>
    </x:row>
    <x:row r="336" spans="1:2">
      <x:c r="A336" s="59">
        <x:v>334</x:v>
      </x:c>
      <x:c r="B336" s="60">
        <x:v>721</x:v>
      </x:c>
    </x:row>
    <x:row r="337" spans="1:2">
      <x:c r="A337" s="59">
        <x:v>335</x:v>
      </x:c>
      <x:c r="B337" s="60">
        <x:v>727</x:v>
      </x:c>
    </x:row>
    <x:row r="338" spans="1:2">
      <x:c r="A338" s="59">
        <x:v>336</x:v>
      </x:c>
      <x:c r="B338" s="60">
        <x:v>733</x:v>
      </x:c>
    </x:row>
    <x:row r="339" spans="1:2">
      <x:c r="A339" s="59">
        <x:v>337</x:v>
      </x:c>
      <x:c r="B339" s="60">
        <x:v>739</x:v>
      </x:c>
    </x:row>
    <x:row r="340" spans="1:2">
      <x:c r="A340" s="59">
        <x:v>338</x:v>
      </x:c>
      <x:c r="B340" s="60">
        <x:v>746</x:v>
      </x:c>
    </x:row>
    <x:row r="341" spans="1:2">
      <x:c r="A341" s="59">
        <x:v>339</x:v>
      </x:c>
      <x:c r="B341" s="60">
        <x:v>752</x:v>
      </x:c>
    </x:row>
    <x:row r="342" spans="1:2">
      <x:c r="A342" s="59">
        <x:v>340</x:v>
      </x:c>
      <x:c r="B342" s="60">
        <x:v>759</x:v>
      </x:c>
    </x:row>
    <x:row r="343" spans="1:2">
      <x:c r="A343" s="59">
        <x:v>341</x:v>
      </x:c>
      <x:c r="B343" s="60">
        <x:v>765</x:v>
      </x:c>
    </x:row>
    <x:row r="344" spans="1:2">
      <x:c r="A344" s="59">
        <x:v>342</x:v>
      </x:c>
      <x:c r="B344" s="60">
        <x:v>772</x:v>
      </x:c>
    </x:row>
    <x:row r="345" spans="1:2">
      <x:c r="A345" s="59">
        <x:v>343</x:v>
      </x:c>
      <x:c r="B345" s="60">
        <x:v>779</x:v>
      </x:c>
    </x:row>
    <x:row r="346" spans="1:2">
      <x:c r="A346" s="59">
        <x:v>344</x:v>
      </x:c>
      <x:c r="B346" s="60">
        <x:v>786</x:v>
      </x:c>
    </x:row>
    <x:row r="347" spans="1:2">
      <x:c r="A347" s="59">
        <x:v>345</x:v>
      </x:c>
      <x:c r="B347" s="60">
        <x:v>793</x:v>
      </x:c>
    </x:row>
    <x:row r="348" spans="1:2">
      <x:c r="A348" s="59">
        <x:v>346</x:v>
      </x:c>
      <x:c r="B348" s="60">
        <x:v>801</x:v>
      </x:c>
    </x:row>
    <x:row r="349" spans="1:2">
      <x:c r="A349" s="59">
        <x:v>347</x:v>
      </x:c>
      <x:c r="B349" s="60">
        <x:v>808</x:v>
      </x:c>
    </x:row>
    <x:row r="350" spans="1:2">
      <x:c r="A350" s="59">
        <x:v>348</x:v>
      </x:c>
      <x:c r="B350" s="60">
        <x:v>816</x:v>
      </x:c>
    </x:row>
    <x:row r="351" spans="1:2">
      <x:c r="A351" s="59">
        <x:v>349</x:v>
      </x:c>
      <x:c r="B351" s="60">
        <x:v>824</x:v>
      </x:c>
    </x:row>
    <x:row r="352" spans="1:2">
      <x:c r="A352" s="61">
        <x:v>350</x:v>
      </x:c>
      <x:c r="B352" s="62">
        <x:v>832</x:v>
      </x:c>
    </x:row>
    <x:row r="353" spans="1:2">
      <x:c r="A353" s="57">
        <x:v>351</x:v>
      </x:c>
      <x:c r="B353" s="58">
        <x:v>840</x:v>
      </x:c>
    </x:row>
    <x:row r="354" spans="1:2">
      <x:c r="A354" s="59">
        <x:v>352</x:v>
      </x:c>
      <x:c r="B354" s="60">
        <x:v>848</x:v>
      </x:c>
    </x:row>
    <x:row r="355" spans="1:2">
      <x:c r="A355" s="59">
        <x:v>353</x:v>
      </x:c>
      <x:c r="B355" s="60">
        <x:v>857</x:v>
      </x:c>
    </x:row>
    <x:row r="356" spans="1:2">
      <x:c r="A356" s="59">
        <x:v>354</x:v>
      </x:c>
      <x:c r="B356" s="60">
        <x:v>865</x:v>
      </x:c>
    </x:row>
    <x:row r="357" spans="1:2">
      <x:c r="A357" s="59">
        <x:v>355</x:v>
      </x:c>
      <x:c r="B357" s="60">
        <x:v>874</x:v>
      </x:c>
    </x:row>
    <x:row r="358" spans="1:2">
      <x:c r="A358" s="59">
        <x:v>356</x:v>
      </x:c>
      <x:c r="B358" s="60">
        <x:v>883</x:v>
      </x:c>
    </x:row>
    <x:row r="359" spans="1:2">
      <x:c r="A359" s="59">
        <x:v>357</x:v>
      </x:c>
      <x:c r="B359" s="60">
        <x:v>892</x:v>
      </x:c>
    </x:row>
    <x:row r="360" spans="1:2">
      <x:c r="A360" s="59">
        <x:v>358</x:v>
      </x:c>
      <x:c r="B360" s="60">
        <x:v>902</x:v>
      </x:c>
    </x:row>
    <x:row r="361" spans="1:2">
      <x:c r="A361" s="59">
        <x:v>359</x:v>
      </x:c>
      <x:c r="B361" s="60">
        <x:v>911</x:v>
      </x:c>
    </x:row>
    <x:row r="362" spans="1:2">
      <x:c r="A362" s="59">
        <x:v>360</x:v>
      </x:c>
      <x:c r="B362" s="60">
        <x:v>921</x:v>
      </x:c>
    </x:row>
    <x:row r="363" spans="1:2">
      <x:c r="A363" s="59">
        <x:v>361</x:v>
      </x:c>
      <x:c r="B363" s="60">
        <x:v>931</x:v>
      </x:c>
    </x:row>
    <x:row r="364" spans="1:2">
      <x:c r="A364" s="59">
        <x:v>362</x:v>
      </x:c>
      <x:c r="B364" s="60">
        <x:v>942</x:v>
      </x:c>
    </x:row>
    <x:row r="365" spans="1:2">
      <x:c r="A365" s="59">
        <x:v>363</x:v>
      </x:c>
      <x:c r="B365" s="60">
        <x:v>952</x:v>
      </x:c>
    </x:row>
    <x:row r="366" spans="1:2">
      <x:c r="A366" s="59">
        <x:v>364</x:v>
      </x:c>
      <x:c r="B366" s="60">
        <x:v>963</x:v>
      </x:c>
    </x:row>
    <x:row r="367" spans="1:2">
      <x:c r="A367" s="59">
        <x:v>365</x:v>
      </x:c>
      <x:c r="B367" s="60">
        <x:v>974</x:v>
      </x:c>
    </x:row>
    <x:row r="368" spans="1:2">
      <x:c r="A368" s="59">
        <x:v>366</x:v>
      </x:c>
      <x:c r="B368" s="60">
        <x:v>986</x:v>
      </x:c>
    </x:row>
    <x:row r="369" spans="1:2">
      <x:c r="A369" s="59">
        <x:v>367</x:v>
      </x:c>
      <x:c r="B369" s="60">
        <x:v>998</x:v>
      </x:c>
    </x:row>
    <x:row r="370" spans="1:2">
      <x:c r="A370" s="59">
        <x:v>368</x:v>
      </x:c>
      <x:c r="B370" s="60">
        <x:v>1010</x:v>
      </x:c>
    </x:row>
    <x:row r="371" spans="1:2">
      <x:c r="A371" s="59">
        <x:v>369</x:v>
      </x:c>
      <x:c r="B371" s="60">
        <x:v>1023</x:v>
      </x:c>
    </x:row>
    <x:row r="372" spans="1:2">
      <x:c r="A372" s="59">
        <x:v>370</x:v>
      </x:c>
      <x:c r="B372" s="60">
        <x:v>1036</x:v>
      </x:c>
    </x:row>
    <x:row r="373" spans="1:2">
      <x:c r="A373" s="59">
        <x:v>371</x:v>
      </x:c>
      <x:c r="B373" s="60">
        <x:v>1050</x:v>
      </x:c>
    </x:row>
    <x:row r="374" spans="1:2">
      <x:c r="A374" s="59">
        <x:v>382</x:v>
      </x:c>
      <x:c r="B374" s="60">
        <x:v>1064</x:v>
      </x:c>
    </x:row>
    <x:row r="375" spans="1:2">
      <x:c r="A375" s="59">
        <x:v>373</x:v>
      </x:c>
      <x:c r="B375" s="60">
        <x:v>1078</x:v>
      </x:c>
    </x:row>
    <x:row r="376" spans="1:2">
      <x:c r="A376" s="59">
        <x:v>374</x:v>
      </x:c>
      <x:c r="B376" s="60">
        <x:v>1093</x:v>
      </x:c>
    </x:row>
    <x:row r="377" spans="1:2">
      <x:c r="A377" s="59">
        <x:v>375</x:v>
      </x:c>
      <x:c r="B377" s="60">
        <x:v>1109</x:v>
      </x:c>
    </x:row>
    <x:row r="378" spans="1:2">
      <x:c r="A378" s="59">
        <x:v>376</x:v>
      </x:c>
      <x:c r="B378" s="60">
        <x:v>1123</x:v>
      </x:c>
    </x:row>
    <x:row r="379" spans="1:2">
      <x:c r="A379" s="59">
        <x:v>377</x:v>
      </x:c>
      <x:c r="B379" s="60">
        <x:v>1142</x:v>
      </x:c>
    </x:row>
    <x:row r="380" spans="1:2">
      <x:c r="A380" s="59">
        <x:v>378</x:v>
      </x:c>
      <x:c r="B380" s="60">
        <x:v>1160</x:v>
      </x:c>
    </x:row>
    <x:row r="381" spans="1:2">
      <x:c r="A381" s="59">
        <x:v>379</x:v>
      </x:c>
      <x:c r="B381" s="60">
        <x:v>1179</x:v>
      </x:c>
    </x:row>
    <x:row r="382" spans="1:2">
      <x:c r="A382" s="59">
        <x:v>380</x:v>
      </x:c>
      <x:c r="B382" s="60">
        <x:v>1198</x:v>
      </x:c>
    </x:row>
    <x:row r="383" spans="1:2">
      <x:c r="A383" s="59">
        <x:v>381</x:v>
      </x:c>
      <x:c r="B383" s="60">
        <x:v>1219</x:v>
      </x:c>
    </x:row>
    <x:row r="384" spans="1:2">
      <x:c r="A384" s="59">
        <x:v>382</x:v>
      </x:c>
      <x:c r="B384" s="60">
        <x:v>1241</x:v>
      </x:c>
    </x:row>
    <x:row r="385" spans="1:2">
      <x:c r="A385" s="59">
        <x:v>383</x:v>
      </x:c>
      <x:c r="B385" s="60">
        <x:v>1263</x:v>
      </x:c>
    </x:row>
    <x:row r="386" spans="1:2">
      <x:c r="A386" s="59">
        <x:v>384</x:v>
      </x:c>
      <x:c r="B386" s="60">
        <x:v>1288</x:v>
      </x:c>
    </x:row>
    <x:row r="387" spans="1:2">
      <x:c r="A387" s="59">
        <x:v>385</x:v>
      </x:c>
      <x:c r="B387" s="60">
        <x:v>1314</x:v>
      </x:c>
    </x:row>
    <x:row r="388" spans="1:2">
      <x:c r="A388" s="59">
        <x:v>386</x:v>
      </x:c>
      <x:c r="B388" s="60">
        <x:v>1341</x:v>
      </x:c>
    </x:row>
    <x:row r="389" spans="1:2">
      <x:c r="A389" s="59">
        <x:v>387</x:v>
      </x:c>
      <x:c r="B389" s="60">
        <x:v>1371</x:v>
      </x:c>
    </x:row>
    <x:row r="390" spans="1:2">
      <x:c r="A390" s="59">
        <x:v>388</x:v>
      </x:c>
      <x:c r="B390" s="60">
        <x:v>1403</x:v>
      </x:c>
    </x:row>
    <x:row r="391" spans="1:2">
      <x:c r="A391" s="59">
        <x:v>389</x:v>
      </x:c>
      <x:c r="B391" s="60">
        <x:v>1438</x:v>
      </x:c>
    </x:row>
    <x:row r="392" spans="1:2">
      <x:c r="A392" s="59">
        <x:v>390</x:v>
      </x:c>
      <x:c r="B392" s="60">
        <x:v>1476</x:v>
      </x:c>
    </x:row>
    <x:row r="393" spans="1:2">
      <x:c r="A393" s="59">
        <x:v>391</x:v>
      </x:c>
      <x:c r="B393" s="60">
        <x:v>1518</x:v>
      </x:c>
    </x:row>
    <x:row r="394" spans="1:2">
      <x:c r="A394" s="59">
        <x:v>392</x:v>
      </x:c>
      <x:c r="B394" s="60">
        <x:v>1565</x:v>
      </x:c>
    </x:row>
    <x:row r="395" spans="1:2">
      <x:c r="A395" s="59">
        <x:v>393</x:v>
      </x:c>
      <x:c r="B395" s="60">
        <x:v>1619</x:v>
      </x:c>
    </x:row>
    <x:row r="396" spans="1:2">
      <x:c r="A396" s="59">
        <x:v>394</x:v>
      </x:c>
      <x:c r="B396" s="60">
        <x:v>1681</x:v>
      </x:c>
    </x:row>
    <x:row r="397" spans="1:2">
      <x:c r="A397" s="59">
        <x:v>395</x:v>
      </x:c>
      <x:c r="B397" s="60">
        <x:v>1754</x:v>
      </x:c>
    </x:row>
    <x:row r="398" spans="1:2">
      <x:c r="A398" s="59">
        <x:v>396</x:v>
      </x:c>
      <x:c r="B398" s="60">
        <x:v>1844</x:v>
      </x:c>
    </x:row>
    <x:row r="399" spans="1:2">
      <x:c r="A399" s="59">
        <x:v>397</x:v>
      </x:c>
      <x:c r="B399" s="60">
        <x:v>1961</x:v>
      </x:c>
    </x:row>
    <x:row r="400" spans="1:2">
      <x:c r="A400" s="59">
        <x:v>398</x:v>
      </x:c>
      <x:c r="B400" s="60">
        <x:v>2127</x:v>
      </x:c>
    </x:row>
    <x:row r="401" spans="1:2">
      <x:c r="A401" s="59">
        <x:v>399</x:v>
      </x:c>
      <x:c r="B401" s="60">
        <x:v>2427</x:v>
      </x:c>
    </x:row>
    <x:row r="402" spans="1:2">
      <x:c r="A402" s="61">
        <x:v>400</x:v>
      </x:c>
      <x:c r="B402" s="62" t="s">
        <x:v>204</x:v>
      </x:c>
    </x:row>
  </x:sheetData>
  <x:pageMargins left="0.74805557727813721" right="0.74805557727813721" top="0.98430556058883667" bottom="0.98430556058883667" header="0.51138889789581299" footer="0.51138889789581299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1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0"/>
  <x:dimension ref="A1:R29"/>
  <x:sheetViews>
    <x:sheetView view="pageBreakPreview" topLeftCell="A10" zoomScaleNormal="100" zoomScaleSheetLayoutView="100" workbookViewId="0">
      <x:selection activeCell="M5" activeCellId="0" sqref="M5:R5"/>
    </x:sheetView>
  </x:sheetViews>
  <x:sheetFormatPr defaultColWidth="9" defaultRowHeight="17.399999999999999"/>
  <x:cols>
    <x:col min="1" max="1" width="9" style="1" bestFit="1" customWidth="1"/>
    <x:col min="2" max="2" width="11.8984375" style="1" customWidth="1"/>
    <x:col min="3" max="14" width="5.19921875" style="1" customWidth="1"/>
    <x:col min="15" max="18" width="6.8984375" style="1" customWidth="1"/>
  </x:cols>
  <x:sheetData>
    <x:row r="1" spans="1:18" ht="20.399999999999999">
      <x:c r="A1" s="938" t="s">
        <x:v>416</x:v>
      </x:c>
      <x:c r="B1" s="938"/>
      <x:c r="C1" s="938"/>
      <x:c r="D1" s="938"/>
      <x:c r="E1" s="938"/>
      <x:c r="F1" s="938"/>
      <x:c r="G1" s="938"/>
      <x:c r="H1" s="938"/>
      <x:c r="I1" s="938"/>
      <x:c r="J1" s="938"/>
      <x:c r="K1" s="938"/>
      <x:c r="L1" s="938"/>
      <x:c r="M1" s="938"/>
      <x:c r="N1" s="1052"/>
      <x:c r="O1" s="940" t="s">
        <x:v>12</x:v>
      </x:c>
      <x:c r="P1" s="941"/>
      <x:c r="Q1" s="940" t="s">
        <x:v>26</x:v>
      </x:c>
      <x:c r="R1" s="941"/>
    </x:row>
    <x:row r="2" spans="1:18" ht="49.5" customHeight="1">
      <x:c r="A2" s="942" t="s">
        <x:v>314</x:v>
      </x:c>
      <x:c r="B2" s="942"/>
      <x:c r="C2" s="942"/>
      <x:c r="D2" s="4"/>
      <x:c r="E2" s="4"/>
      <x:c r="F2" s="4"/>
      <x:c r="G2" s="4"/>
      <x:c r="H2" s="4"/>
      <x:c r="I2" s="4"/>
      <x:c r="J2" s="4"/>
      <x:c r="K2" s="4"/>
      <x:c r="L2" s="4"/>
      <x:c r="M2" s="4"/>
      <x:c r="N2" s="4"/>
      <x:c r="O2" s="944"/>
      <x:c r="P2" s="945"/>
      <x:c r="Q2" s="944"/>
      <x:c r="R2" s="945"/>
    </x:row>
    <x:row r="3" spans="1:18" ht="22.5" customHeight="1">
      <x:c r="A3" s="946" t="s">
        <x:v>29</x:v>
      </x:c>
      <x:c r="B3" s="947"/>
      <x:c r="C3" s="948" t="str">
        <x:f>'입력1(학교시설명 등 기본사항 입력) 보고서1,2'!C2</x:f>
        <x:v>평촌경영고등학교</x:v>
      </x:c>
      <x:c r="D3" s="948"/>
      <x:c r="E3" s="948"/>
      <x:c r="F3" s="948"/>
      <x:c r="G3" s="948"/>
      <x:c r="H3" s="948"/>
      <x:c r="I3" s="947" t="s">
        <x:v>28</x:v>
      </x:c>
      <x:c r="J3" s="947"/>
      <x:c r="K3" s="947"/>
      <x:c r="L3" s="947"/>
      <x:c r="M3" s="1053" t="str">
        <x:f>'입력1(학교시설명 등 기본사항 입력) 보고서1,2'!C2</x:f>
        <x:v>평촌경영고등학교</x:v>
      </x:c>
      <x:c r="N3" s="1053"/>
      <x:c r="O3" s="1053"/>
      <x:c r="P3" s="1053"/>
      <x:c r="Q3" s="1053"/>
      <x:c r="R3" s="1054"/>
    </x:row>
    <x:row r="4" spans="1:18" ht="22.5" customHeight="1">
      <x:c r="A4" s="952" t="s">
        <x:v>23</x:v>
      </x:c>
      <x:c r="B4" s="953"/>
      <x:c r="C4" s="954" t="str">
        <x:f>'입력1(학교시설명 등 기본사항 입력) 보고서1,2'!C13</x:f>
        <x:v>2026.06.10</x:v>
      </x:c>
      <x:c r="D4" s="954"/>
      <x:c r="E4" s="954"/>
      <x:c r="F4" s="954"/>
      <x:c r="G4" s="954"/>
      <x:c r="H4" s="954"/>
      <x:c r="I4" s="953" t="s">
        <x:v>25</x:v>
      </x:c>
      <x:c r="J4" s="953"/>
      <x:c r="K4" s="953"/>
      <x:c r="L4" s="953"/>
      <x:c r="M4" s="1055" t="str">
        <x:f>'부유세균(시험기록부)'!M4</x:f>
        <x:v>2026년 06월 12일 ~ 06월 13일</x:v>
      </x:c>
      <x:c r="N4" s="1055"/>
      <x:c r="O4" s="1055"/>
      <x:c r="P4" s="1055"/>
      <x:c r="Q4" s="1055"/>
      <x:c r="R4" s="1056"/>
    </x:row>
    <x:row r="5" spans="1:18" ht="22.5" customHeight="1">
      <x:c r="A5" s="952" t="s">
        <x:v>15</x:v>
      </x:c>
      <x:c r="B5" s="953"/>
      <x:c r="C5" s="928" t="str">
        <x:f>'입력1(학교시설명 등 기본사항 입력) 보고서1,2'!I15</x:f>
        <x:v>박정식</x:v>
      </x:c>
      <x:c r="D5" s="928"/>
      <x:c r="E5" s="928"/>
      <x:c r="F5" s="928"/>
      <x:c r="G5" s="928"/>
      <x:c r="H5" s="928"/>
      <x:c r="I5" s="953" t="s">
        <x:v>22</x:v>
      </x:c>
      <x:c r="J5" s="953"/>
      <x:c r="K5" s="953"/>
      <x:c r="L5" s="953"/>
      <x:c r="M5" s="1057" t="str">
        <x:f>'입력2(측정)'!B1</x:f>
        <x:v>유재혁</x:v>
      </x:c>
      <x:c r="N5" s="1057"/>
      <x:c r="O5" s="1057"/>
      <x:c r="P5" s="1057"/>
      <x:c r="Q5" s="1057"/>
      <x:c r="R5" s="1058"/>
    </x:row>
    <x:row r="6" spans="1:18" ht="9" customHeight="1">
      <x:c r="A6" s="961" t="s">
        <x:v>20</x:v>
      </x:c>
      <x:c r="B6" s="962"/>
      <x:c r="C6" s="965" t="str">
        <x:f>'입력2(측정)'!B52</x:f>
        <x:v>급식시설</x:v>
      </x:c>
      <x:c r="D6" s="966"/>
      <x:c r="E6" s="966"/>
      <x:c r="F6" s="967"/>
      <x:c r="G6" s="965" t="str">
        <x:f>'입력2(측정)'!B53</x:f>
        <x:v>보건실</x:v>
      </x:c>
      <x:c r="H6" s="966"/>
      <x:c r="I6" s="966"/>
      <x:c r="J6" s="967"/>
      <x:c r="K6" s="1059"/>
      <x:c r="L6" s="966"/>
      <x:c r="M6" s="966"/>
      <x:c r="N6" s="967"/>
      <x:c r="O6" s="1059"/>
      <x:c r="P6" s="966"/>
      <x:c r="Q6" s="966"/>
      <x:c r="R6" s="967"/>
    </x:row>
    <x:row r="7" spans="1:18" ht="9" customHeight="1">
      <x:c r="A7" s="963"/>
      <x:c r="B7" s="964"/>
      <x:c r="C7" s="968"/>
      <x:c r="D7" s="969"/>
      <x:c r="E7" s="969"/>
      <x:c r="F7" s="970"/>
      <x:c r="G7" s="968"/>
      <x:c r="H7" s="969"/>
      <x:c r="I7" s="969"/>
      <x:c r="J7" s="970"/>
      <x:c r="K7" s="968"/>
      <x:c r="L7" s="969"/>
      <x:c r="M7" s="969"/>
      <x:c r="N7" s="970"/>
      <x:c r="O7" s="968"/>
      <x:c r="P7" s="969"/>
      <x:c r="Q7" s="969"/>
      <x:c r="R7" s="970"/>
    </x:row>
    <x:row r="8" spans="1:18" ht="22.5" customHeight="1">
      <x:c r="A8" s="971" t="s">
        <x:v>39</x:v>
      </x:c>
      <x:c r="B8" s="972"/>
      <x:c r="C8" s="973" t="s">
        <x:v>204</x:v>
      </x:c>
      <x:c r="D8" s="973"/>
      <x:c r="E8" s="973"/>
      <x:c r="F8" s="973"/>
      <x:c r="G8" s="974" t="s">
        <x:v>204</x:v>
      </x:c>
      <x:c r="H8" s="974"/>
      <x:c r="I8" s="974"/>
      <x:c r="J8" s="974"/>
      <x:c r="K8" s="975"/>
      <x:c r="L8" s="975"/>
      <x:c r="M8" s="975"/>
      <x:c r="N8" s="975"/>
      <x:c r="O8" s="975"/>
      <x:c r="P8" s="975"/>
      <x:c r="Q8" s="975"/>
      <x:c r="R8" s="976"/>
    </x:row>
    <x:row r="9" spans="1:18" ht="22.5" customHeight="1">
      <x:c r="A9" s="971" t="s">
        <x:v>38</x:v>
      </x:c>
      <x:c r="B9" s="972"/>
      <x:c r="C9" s="973" t="s">
        <x:v>204</x:v>
      </x:c>
      <x:c r="D9" s="973"/>
      <x:c r="E9" s="973"/>
      <x:c r="F9" s="973"/>
      <x:c r="G9" s="974" t="s">
        <x:v>204</x:v>
      </x:c>
      <x:c r="H9" s="974"/>
      <x:c r="I9" s="974"/>
      <x:c r="J9" s="974"/>
      <x:c r="K9" s="975"/>
      <x:c r="L9" s="975"/>
      <x:c r="M9" s="975"/>
      <x:c r="N9" s="975"/>
      <x:c r="O9" s="975"/>
      <x:c r="P9" s="975"/>
      <x:c r="Q9" s="975"/>
      <x:c r="R9" s="976"/>
    </x:row>
    <x:row r="10" spans="1:18" ht="22.5" customHeight="1">
      <x:c r="A10" s="977" t="s">
        <x:v>420</x:v>
      </x:c>
      <x:c r="B10" s="978"/>
      <x:c r="C10" s="979" t="s">
        <x:v>204</x:v>
      </x:c>
      <x:c r="D10" s="979"/>
      <x:c r="E10" s="979"/>
      <x:c r="F10" s="979"/>
      <x:c r="G10" s="980" t="s">
        <x:v>204</x:v>
      </x:c>
      <x:c r="H10" s="980"/>
      <x:c r="I10" s="980"/>
      <x:c r="J10" s="980"/>
      <x:c r="K10" s="981"/>
      <x:c r="L10" s="981"/>
      <x:c r="M10" s="981"/>
      <x:c r="N10" s="981"/>
      <x:c r="O10" s="981"/>
      <x:c r="P10" s="981"/>
      <x:c r="Q10" s="981"/>
      <x:c r="R10" s="982"/>
    </x:row>
    <x:row r="11" spans="1:18">
      <x:c r="A11" s="10"/>
      <x:c r="B11" s="10"/>
      <x:c r="C11" s="137"/>
      <x:c r="D11" s="137"/>
      <x:c r="E11" s="137"/>
      <x:c r="F11" s="137"/>
      <x:c r="G11" s="138"/>
      <x:c r="H11" s="138"/>
      <x:c r="I11" s="138"/>
      <x:c r="J11" s="138"/>
      <x:c r="K11" s="139"/>
      <x:c r="L11" s="139"/>
      <x:c r="M11" s="139"/>
      <x:c r="N11" s="139"/>
      <x:c r="O11" s="139"/>
      <x:c r="P11" s="139"/>
      <x:c r="Q11" s="139"/>
      <x:c r="R11" s="139"/>
    </x:row>
    <x:row r="12" spans="1:18" ht="60" customHeight="1">
      <x:c r="A12" s="983" t="s">
        <x:v>313</x:v>
      </x:c>
      <x:c r="B12" s="984"/>
      <x:c r="C12" s="984"/>
      <x:c r="D12" s="984"/>
      <x:c r="E12" s="984"/>
      <x:c r="F12" s="984"/>
      <x:c r="G12" s="984"/>
      <x:c r="H12" s="984"/>
      <x:c r="I12" s="984"/>
      <x:c r="J12" s="984"/>
      <x:c r="K12" s="984"/>
      <x:c r="L12" s="984"/>
      <x:c r="M12" s="984"/>
      <x:c r="N12" s="984"/>
      <x:c r="O12" s="984"/>
      <x:c r="P12" s="984"/>
      <x:c r="Q12" s="984"/>
      <x:c r="R12" s="985"/>
    </x:row>
    <x:row r="13" spans="1:18">
      <x:c r="A13" s="986"/>
      <x:c r="B13" s="986"/>
      <x:c r="C13" s="986"/>
      <x:c r="D13" s="986"/>
      <x:c r="E13" s="986"/>
      <x:c r="F13" s="986"/>
      <x:c r="G13" s="986"/>
      <x:c r="H13" s="986"/>
      <x:c r="I13" s="986"/>
      <x:c r="J13" s="986"/>
      <x:c r="K13" s="986"/>
      <x:c r="L13" s="986"/>
      <x:c r="M13" s="986"/>
      <x:c r="N13" s="986"/>
      <x:c r="O13" s="986"/>
      <x:c r="P13" s="986"/>
      <x:c r="Q13" s="986"/>
      <x:c r="R13" s="986"/>
    </x:row>
    <x:row r="14" spans="1:18">
      <x:c r="A14" s="987" t="s">
        <x:v>36</x:v>
      </x:c>
      <x:c r="B14" s="987"/>
      <x:c r="C14" s="987"/>
      <x:c r="D14" s="987"/>
      <x:c r="E14" s="987"/>
      <x:c r="F14" s="987"/>
      <x:c r="G14" s="987"/>
      <x:c r="H14" s="987"/>
      <x:c r="I14" s="987"/>
      <x:c r="J14" s="987"/>
      <x:c r="K14" s="987"/>
      <x:c r="L14" s="987"/>
      <x:c r="M14" s="987"/>
      <x:c r="N14" s="987"/>
      <x:c r="O14" s="987"/>
      <x:c r="P14" s="987"/>
      <x:c r="Q14" s="987"/>
      <x:c r="R14" s="987"/>
    </x:row>
    <x:row r="15" spans="1:18">
      <x:c r="A15" s="946" t="s">
        <x:v>419</x:v>
      </x:c>
      <x:c r="B15" s="947"/>
      <x:c r="C15" s="947"/>
      <x:c r="D15" s="947"/>
      <x:c r="E15" s="947"/>
      <x:c r="F15" s="947"/>
      <x:c r="G15" s="947"/>
      <x:c r="H15" s="947"/>
      <x:c r="I15" s="947"/>
      <x:c r="J15" s="947"/>
      <x:c r="K15" s="947"/>
      <x:c r="L15" s="947"/>
      <x:c r="M15" s="947"/>
      <x:c r="N15" s="947"/>
      <x:c r="O15" s="947"/>
      <x:c r="P15" s="947"/>
      <x:c r="Q15" s="947"/>
      <x:c r="R15" s="997"/>
    </x:row>
    <x:row r="16" spans="1:18" ht="41.25" customHeight="1">
      <x:c r="A16" s="990" t="s">
        <x:v>273</x:v>
      </x:c>
      <x:c r="B16" s="582"/>
      <x:c r="C16" s="582"/>
      <x:c r="D16" s="582"/>
      <x:c r="E16" s="582"/>
      <x:c r="F16" s="582"/>
      <x:c r="G16" s="582"/>
      <x:c r="H16" s="582"/>
      <x:c r="I16" s="582"/>
      <x:c r="J16" s="583"/>
      <x:c r="K16" s="1060" t="s">
        <x:v>204</x:v>
      </x:c>
      <x:c r="L16" s="1060"/>
      <x:c r="M16" s="1060"/>
      <x:c r="N16" s="1060"/>
      <x:c r="O16" s="1060"/>
      <x:c r="P16" s="1060"/>
      <x:c r="Q16" s="1060"/>
      <x:c r="R16" s="1061"/>
    </x:row>
    <x:row r="17" spans="1:18">
      <x:c r="A17" s="990"/>
      <x:c r="B17" s="582"/>
      <x:c r="C17" s="582"/>
      <x:c r="D17" s="582"/>
      <x:c r="E17" s="582"/>
      <x:c r="F17" s="582"/>
      <x:c r="G17" s="582"/>
      <x:c r="H17" s="582"/>
      <x:c r="I17" s="582"/>
      <x:c r="J17" s="582"/>
      <x:c r="K17" s="582"/>
      <x:c r="L17" s="582"/>
      <x:c r="M17" s="582"/>
      <x:c r="N17" s="582"/>
      <x:c r="O17" s="582"/>
      <x:c r="P17" s="582"/>
      <x:c r="Q17" s="582"/>
      <x:c r="R17" s="1062"/>
    </x:row>
    <x:row r="18" spans="1:18">
      <x:c r="A18" s="971" t="s">
        <x:v>20</x:v>
      </x:c>
      <x:c r="B18" s="972"/>
      <x:c r="C18" s="1063" t="str">
        <x:f>'입력2(측정)'!B52</x:f>
        <x:v>급식시설</x:v>
      </x:c>
      <x:c r="D18" s="953"/>
      <x:c r="E18" s="953"/>
      <x:c r="F18" s="953"/>
      <x:c r="G18" s="1063" t="str">
        <x:f>'입력2(측정)'!B53</x:f>
        <x:v>보건실</x:v>
      </x:c>
      <x:c r="H18" s="953"/>
      <x:c r="I18" s="953"/>
      <x:c r="J18" s="953"/>
      <x:c r="K18" s="953"/>
      <x:c r="L18" s="953"/>
      <x:c r="M18" s="953"/>
      <x:c r="N18" s="953"/>
      <x:c r="O18" s="953"/>
      <x:c r="P18" s="953"/>
      <x:c r="Q18" s="953"/>
      <x:c r="R18" s="1064"/>
    </x:row>
    <x:row r="19" spans="1:18">
      <x:c r="A19" s="1001" t="s">
        <x:v>391</x:v>
      </x:c>
      <x:c r="B19" s="5" t="s">
        <x:v>21</x:v>
      </x:c>
      <x:c r="C19" s="1010" t="s">
        <x:v>162</x:v>
      </x:c>
      <x:c r="D19" s="1011"/>
      <x:c r="E19" s="1011"/>
      <x:c r="F19" s="1011"/>
      <x:c r="G19" s="1010" t="s">
        <x:v>171</x:v>
      </x:c>
      <x:c r="H19" s="1011"/>
      <x:c r="I19" s="1011"/>
      <x:c r="J19" s="1011"/>
      <x:c r="K19" s="1010"/>
      <x:c r="L19" s="1011"/>
      <x:c r="M19" s="1011"/>
      <x:c r="N19" s="1011"/>
      <x:c r="O19" s="1010"/>
      <x:c r="P19" s="1011"/>
      <x:c r="Q19" s="1011"/>
      <x:c r="R19" s="1066"/>
    </x:row>
    <x:row r="20" spans="1:18" ht="103.5" customHeight="1">
      <x:c r="A20" s="1065"/>
      <x:c r="B20" s="6" t="s">
        <x:v>289</x:v>
      </x:c>
      <x:c r="C20" s="1067">
        <x:f>C26</x:f>
        <x:v>0</x:v>
      </x:c>
      <x:c r="D20" s="1068"/>
      <x:c r="E20" s="1068"/>
      <x:c r="F20" s="1069"/>
      <x:c r="G20" s="1070">
        <x:f>C29</x:f>
        <x:v>2</x:v>
      </x:c>
      <x:c r="H20" s="1068"/>
      <x:c r="I20" s="1068"/>
      <x:c r="J20" s="1068"/>
      <x:c r="K20" s="1067"/>
      <x:c r="L20" s="1068"/>
      <x:c r="M20" s="1068"/>
      <x:c r="N20" s="1068"/>
      <x:c r="O20" s="1067"/>
      <x:c r="P20" s="1068"/>
      <x:c r="Q20" s="1068"/>
      <x:c r="R20" s="1071"/>
    </x:row>
    <x:row r="21" spans="1:18">
      <x:c r="A21" s="9"/>
      <x:c r="B21" s="10"/>
      <x:c r="C21" s="11"/>
      <x:c r="D21" s="11"/>
      <x:c r="E21" s="11"/>
      <x:c r="F21" s="11"/>
      <x:c r="G21" s="11"/>
      <x:c r="H21" s="11"/>
      <x:c r="I21" s="11"/>
      <x:c r="J21" s="11"/>
      <x:c r="K21" s="12"/>
      <x:c r="L21" s="12"/>
      <x:c r="M21" s="12"/>
      <x:c r="N21" s="12"/>
      <x:c r="O21" s="12"/>
      <x:c r="P21" s="12"/>
      <x:c r="Q21" s="12"/>
      <x:c r="R21" s="12"/>
    </x:row>
    <x:row r="22" spans="1:18" ht="34.5" customHeight="1">
      <x:c r="A22" s="1024" t="s">
        <x:v>55</x:v>
      </x:c>
      <x:c r="B22" s="1024"/>
      <x:c r="C22" s="1024"/>
      <x:c r="D22" s="1024"/>
      <x:c r="E22" s="1024"/>
      <x:c r="F22" s="1024"/>
      <x:c r="G22" s="1024"/>
      <x:c r="H22" s="1024"/>
      <x:c r="I22" s="1024"/>
      <x:c r="J22" s="1024"/>
      <x:c r="K22" s="1024"/>
      <x:c r="L22" s="1024"/>
      <x:c r="M22" s="1024"/>
      <x:c r="N22" s="1024"/>
      <x:c r="O22" s="1024"/>
      <x:c r="P22" s="1024"/>
      <x:c r="Q22" s="1024"/>
      <x:c r="R22" s="1024"/>
    </x:row>
    <x:row r="23" spans="1:18" ht="34.5" customHeight="1">
      <x:c r="A23" s="1072" t="s">
        <x:v>20</x:v>
      </x:c>
      <x:c r="B23" s="1072"/>
      <x:c r="C23" s="1073" t="s">
        <x:v>21</x:v>
      </x:c>
      <x:c r="D23" s="1074"/>
      <x:c r="E23" s="1074"/>
      <x:c r="F23" s="1074"/>
      <x:c r="G23" s="1074"/>
      <x:c r="H23" s="1074"/>
      <x:c r="I23" s="1074"/>
      <x:c r="J23" s="1074"/>
      <x:c r="K23" s="1074"/>
      <x:c r="L23" s="1074"/>
      <x:c r="M23" s="1074"/>
      <x:c r="N23" s="1074"/>
      <x:c r="O23" s="1074"/>
      <x:c r="P23" s="1074"/>
      <x:c r="Q23" s="1074"/>
      <x:c r="R23" s="1075"/>
    </x:row>
    <x:row r="24" spans="1:18" ht="34.5" customHeight="1">
      <x:c r="A24" s="1076" t="str">
        <x:f>'입력2(측정)'!B52</x:f>
        <x:v>급식시설</x:v>
      </x:c>
      <x:c r="B24" s="1077"/>
      <x:c r="C24" s="1082" t="s">
        <x:v>45</x:v>
      </x:c>
      <x:c r="D24" s="1083"/>
      <x:c r="E24" s="1083"/>
      <x:c r="F24" s="1083"/>
      <x:c r="G24" s="1083"/>
      <x:c r="H24" s="1084"/>
      <x:c r="I24" s="1082" t="s">
        <x:v>54</x:v>
      </x:c>
      <x:c r="J24" s="1083"/>
      <x:c r="K24" s="1083"/>
      <x:c r="L24" s="1083"/>
      <x:c r="M24" s="1083"/>
      <x:c r="N24" s="1084"/>
      <x:c r="O24" s="1082" t="s">
        <x:v>46</x:v>
      </x:c>
      <x:c r="P24" s="1083"/>
      <x:c r="Q24" s="1083"/>
      <x:c r="R24" s="1085"/>
    </x:row>
    <x:row r="25" spans="1:18" ht="34.5" customHeight="1">
      <x:c r="A25" s="1078"/>
      <x:c r="B25" s="1079"/>
      <x:c r="C25" s="1086">
        <x:f>'입력2(측정)'!Y52</x:f>
        <x:v>0</x:v>
      </x:c>
      <x:c r="D25" s="1083"/>
      <x:c r="E25" s="1083"/>
      <x:c r="F25" s="1083"/>
      <x:c r="G25" s="1083"/>
      <x:c r="H25" s="1083"/>
      <x:c r="I25" s="1087">
        <x:f>'입력2(측정)'!AE52</x:f>
        <x:v>0</x:v>
      </x:c>
      <x:c r="J25" s="1087"/>
      <x:c r="K25" s="1087"/>
      <x:c r="L25" s="1087"/>
      <x:c r="M25" s="1087"/>
      <x:c r="N25" s="1087"/>
      <x:c r="O25" s="1083">
        <x:f>'입력2(측정)'!AL52</x:f>
        <x:v>0</x:v>
      </x:c>
      <x:c r="P25" s="1083"/>
      <x:c r="Q25" s="1083"/>
      <x:c r="R25" s="1085"/>
    </x:row>
    <x:row r="26" spans="1:18" ht="34.5" customHeight="1">
      <x:c r="A26" s="1080"/>
      <x:c r="B26" s="1081"/>
      <x:c r="C26" s="1082">
        <x:f>SUM(C25+I25+O25)</x:f>
        <x:v>0</x:v>
      </x:c>
      <x:c r="D26" s="1083"/>
      <x:c r="E26" s="1083"/>
      <x:c r="F26" s="1083"/>
      <x:c r="G26" s="1083"/>
      <x:c r="H26" s="1083"/>
      <x:c r="I26" s="1083"/>
      <x:c r="J26" s="1083"/>
      <x:c r="K26" s="1083"/>
      <x:c r="L26" s="1083"/>
      <x:c r="M26" s="1083"/>
      <x:c r="N26" s="1083"/>
      <x:c r="O26" s="1083"/>
      <x:c r="P26" s="1083"/>
      <x:c r="Q26" s="1083"/>
      <x:c r="R26" s="1085"/>
    </x:row>
    <x:row r="27" spans="1:18" ht="34.5" customHeight="1">
      <x:c r="A27" s="1076" t="str">
        <x:f>'입력2(측정)'!B53</x:f>
        <x:v>보건실</x:v>
      </x:c>
      <x:c r="B27" s="1077"/>
      <x:c r="C27" s="1082" t="s">
        <x:v>135</x:v>
      </x:c>
      <x:c r="D27" s="1083"/>
      <x:c r="E27" s="1083"/>
      <x:c r="F27" s="1083"/>
      <x:c r="G27" s="1083"/>
      <x:c r="H27" s="1084"/>
      <x:c r="I27" s="1082" t="s">
        <x:v>155</x:v>
      </x:c>
      <x:c r="J27" s="1083"/>
      <x:c r="K27" s="1083"/>
      <x:c r="L27" s="1083"/>
      <x:c r="M27" s="1083"/>
      <x:c r="N27" s="1084"/>
      <x:c r="O27" s="1082" t="s">
        <x:v>61</x:v>
      </x:c>
      <x:c r="P27" s="1083"/>
      <x:c r="Q27" s="1083"/>
      <x:c r="R27" s="1085"/>
    </x:row>
    <x:row r="28" spans="1:18" ht="34.5" customHeight="1">
      <x:c r="A28" s="1078"/>
      <x:c r="B28" s="1079"/>
      <x:c r="C28" s="1082">
        <x:f>'입력2(측정)'!Y53</x:f>
        <x:v>0</x:v>
      </x:c>
      <x:c r="D28" s="1083"/>
      <x:c r="E28" s="1083"/>
      <x:c r="F28" s="1083"/>
      <x:c r="G28" s="1083"/>
      <x:c r="H28" s="1083"/>
      <x:c r="I28" s="1087">
        <x:f>'입력2(측정)'!AE53</x:f>
        <x:v>1</x:v>
      </x:c>
      <x:c r="J28" s="1087"/>
      <x:c r="K28" s="1087"/>
      <x:c r="L28" s="1087"/>
      <x:c r="M28" s="1087"/>
      <x:c r="N28" s="1087"/>
      <x:c r="O28" s="1083">
        <x:f>'입력2(측정)'!AL53</x:f>
        <x:v>1</x:v>
      </x:c>
      <x:c r="P28" s="1083"/>
      <x:c r="Q28" s="1083"/>
      <x:c r="R28" s="1085"/>
    </x:row>
    <x:row r="29" spans="1:18" ht="34.5" customHeight="1">
      <x:c r="A29" s="1088"/>
      <x:c r="B29" s="1089"/>
      <x:c r="C29" s="1090">
        <x:f>C28+I28+O28</x:f>
        <x:v>2</x:v>
      </x:c>
      <x:c r="D29" s="1091"/>
      <x:c r="E29" s="1091"/>
      <x:c r="F29" s="1091"/>
      <x:c r="G29" s="1091"/>
      <x:c r="H29" s="1091"/>
      <x:c r="I29" s="1091"/>
      <x:c r="J29" s="1091"/>
      <x:c r="K29" s="1091"/>
      <x:c r="L29" s="1091"/>
      <x:c r="M29" s="1091"/>
      <x:c r="N29" s="1091"/>
      <x:c r="O29" s="1091"/>
      <x:c r="P29" s="1091"/>
      <x:c r="Q29" s="1091"/>
      <x:c r="R29" s="1092"/>
    </x:row>
  </x:sheetData>
  <x:mergeCells count="78">
    <x:mergeCell ref="A1:N1"/>
    <x:mergeCell ref="O1:P1"/>
    <x:mergeCell ref="Q1:R1"/>
    <x:mergeCell ref="A2:C2"/>
    <x:mergeCell ref="O2:P2"/>
    <x:mergeCell ref="Q2:R2"/>
    <x:mergeCell ref="A3:B3"/>
    <x:mergeCell ref="C3:H3"/>
    <x:mergeCell ref="I3:L3"/>
    <x:mergeCell ref="M3:R3"/>
    <x:mergeCell ref="A4:B4"/>
    <x:mergeCell ref="C4:H4"/>
    <x:mergeCell ref="I4:L4"/>
    <x:mergeCell ref="M4:R4"/>
    <x:mergeCell ref="A5:B5"/>
    <x:mergeCell ref="C5:H5"/>
    <x:mergeCell ref="I5:L5"/>
    <x:mergeCell ref="M5:R5"/>
    <x:mergeCell ref="A6:B7"/>
    <x:mergeCell ref="C6:F7"/>
    <x:mergeCell ref="G6:J7"/>
    <x:mergeCell ref="K6:N7"/>
    <x:mergeCell ref="O6:R7"/>
    <x:mergeCell ref="A8:B8"/>
    <x:mergeCell ref="C8:F8"/>
    <x:mergeCell ref="G8:J8"/>
    <x:mergeCell ref="K8:N8"/>
    <x:mergeCell ref="O8:R8"/>
    <x:mergeCell ref="A9:B9"/>
    <x:mergeCell ref="C9:F9"/>
    <x:mergeCell ref="G9:J9"/>
    <x:mergeCell ref="K9:N9"/>
    <x:mergeCell ref="O9:R9"/>
    <x:mergeCell ref="A10:B10"/>
    <x:mergeCell ref="C10:F10"/>
    <x:mergeCell ref="G10:J10"/>
    <x:mergeCell ref="K10:N10"/>
    <x:mergeCell ref="O10:R10"/>
    <x:mergeCell ref="A12:R12"/>
    <x:mergeCell ref="A13:R13"/>
    <x:mergeCell ref="A14:R14"/>
    <x:mergeCell ref="A15:R15"/>
    <x:mergeCell ref="A16:J16"/>
    <x:mergeCell ref="K16:R16"/>
    <x:mergeCell ref="A17:R17"/>
    <x:mergeCell ref="A18:B18"/>
    <x:mergeCell ref="C18:F18"/>
    <x:mergeCell ref="G18:J18"/>
    <x:mergeCell ref="K18:N18"/>
    <x:mergeCell ref="O18:R18"/>
    <x:mergeCell ref="A19:A20"/>
    <x:mergeCell ref="C19:F19"/>
    <x:mergeCell ref="G19:J19"/>
    <x:mergeCell ref="K19:N19"/>
    <x:mergeCell ref="O19:R19"/>
    <x:mergeCell ref="C20:F20"/>
    <x:mergeCell ref="G20:J20"/>
    <x:mergeCell ref="K20:N20"/>
    <x:mergeCell ref="O20:R20"/>
    <x:mergeCell ref="A22:R22"/>
    <x:mergeCell ref="A23:B23"/>
    <x:mergeCell ref="C23:R23"/>
    <x:mergeCell ref="A24:B26"/>
    <x:mergeCell ref="C24:H24"/>
    <x:mergeCell ref="I24:N24"/>
    <x:mergeCell ref="O24:R24"/>
    <x:mergeCell ref="C25:H25"/>
    <x:mergeCell ref="I25:N25"/>
    <x:mergeCell ref="O25:R25"/>
    <x:mergeCell ref="C26:R26"/>
    <x:mergeCell ref="A27:B29"/>
    <x:mergeCell ref="C27:H27"/>
    <x:mergeCell ref="I27:N27"/>
    <x:mergeCell ref="O27:R27"/>
    <x:mergeCell ref="C28:H28"/>
    <x:mergeCell ref="I28:N28"/>
    <x:mergeCell ref="O28:R28"/>
    <x:mergeCell ref="C29:R29"/>
  </x:mergeCells>
  <x:pageMargins left="0.74805557727813721" right="0.74805557727813721" top="0.98430556058883667" bottom="0.98430556058883667" header="0.51138889789581299" footer="0.51138889789581299"/>
  <x:pageSetup paperSize="9" scale="69" firstPageNumber="1" fitToWidth="0" fitToHeight="0" orientation="portrait" usePrinterDefaults="1" blackAndWhite="0" draft="0" useFirstPageNumber="0" horizontalDpi="600" verticalDpi="600" copies="1"/>
  <x:rowBreaks count="1" manualBreakCount="1">
    <x:brk id="30" min="0" max="1048575" man="1" pt="0"/>
  </x:rowBreaks>
  <x:colBreaks count="1" manualBreakCount="1">
    <x:brk id="18" min="0" max="16383" man="1" pt="0"/>
  </x:colBreaks>
  <x:drawing r:id="rId1"/>
</x:worksheet>
</file>

<file path=xl/worksheets/sheet12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3"/>
  <x:dimension ref="A1:Z42"/>
  <x:sheetViews>
    <x:sheetView view="pageBreakPreview" topLeftCell="A1" zoomScaleNormal="100" zoomScaleSheetLayoutView="100" workbookViewId="0">
      <x:selection activeCell="K16" activeCellId="0" sqref="K16:Z16"/>
    </x:sheetView>
  </x:sheetViews>
  <x:sheetFormatPr defaultColWidth="9" defaultRowHeight="17.399999999999999"/>
  <x:cols>
    <x:col min="1" max="1" width="9" style="1" bestFit="1" customWidth="1"/>
    <x:col min="2" max="2" width="11.8984375" style="1" customWidth="1"/>
    <x:col min="3" max="18" width="3.3984375" style="1" customWidth="1"/>
    <x:col min="19" max="19" width="4.3984375" style="1" customWidth="1"/>
    <x:col min="20" max="22" width="3.3984375" style="1" customWidth="1"/>
    <x:col min="23" max="26" width="5" style="1" customWidth="1"/>
  </x:cols>
  <x:sheetData>
    <x:row r="1" spans="1:26" ht="35.25" customHeight="1">
      <x:c r="A1" s="938" t="s">
        <x:v>416</x:v>
      </x:c>
      <x:c r="B1" s="938"/>
      <x:c r="C1" s="938"/>
      <x:c r="D1" s="938"/>
      <x:c r="E1" s="938"/>
      <x:c r="F1" s="938"/>
      <x:c r="G1" s="938"/>
      <x:c r="H1" s="938"/>
      <x:c r="I1" s="938"/>
      <x:c r="J1" s="938"/>
      <x:c r="K1" s="938"/>
      <x:c r="L1" s="938"/>
      <x:c r="M1" s="938"/>
      <x:c r="N1" s="938"/>
      <x:c r="O1" s="938"/>
      <x:c r="P1" s="938"/>
      <x:c r="Q1" s="938"/>
      <x:c r="R1" s="938"/>
      <x:c r="S1" s="938"/>
      <x:c r="T1" s="938"/>
      <x:c r="U1" s="938"/>
      <x:c r="V1" s="1052"/>
      <x:c r="W1" s="940" t="s">
        <x:v>12</x:v>
      </x:c>
      <x:c r="X1" s="941"/>
      <x:c r="Y1" s="940" t="s">
        <x:v>26</x:v>
      </x:c>
      <x:c r="Z1" s="941"/>
    </x:row>
    <x:row r="2" spans="1:26" ht="27" customHeight="1">
      <x:c r="A2" s="942" t="s">
        <x:v>314</x:v>
      </x:c>
      <x:c r="B2" s="942"/>
      <x:c r="C2" s="942"/>
      <x:c r="D2" s="4"/>
      <x:c r="E2" s="4"/>
      <x:c r="F2" s="4"/>
      <x:c r="G2" s="4"/>
      <x:c r="H2" s="4"/>
      <x:c r="I2" s="4"/>
      <x:c r="J2" s="4"/>
      <x:c r="K2" s="4"/>
      <x:c r="L2" s="4"/>
      <x:c r="M2" s="4"/>
      <x:c r="N2" s="4"/>
      <x:c r="O2" s="943"/>
      <x:c r="P2" s="943"/>
      <x:c r="Q2" s="943"/>
      <x:c r="R2" s="943"/>
      <x:c r="W2" s="944"/>
      <x:c r="X2" s="945"/>
      <x:c r="Y2" s="944"/>
      <x:c r="Z2" s="945"/>
    </x:row>
    <x:row r="3" spans="1:26" ht="16.649999999999999" customHeight="1">
      <x:c r="A3" s="946" t="s">
        <x:v>29</x:v>
      </x:c>
      <x:c r="B3" s="947"/>
      <x:c r="C3" s="948" t="str">
        <x:f>'입력1(학교시설명 등 기본사항 입력) 보고서1,2'!C2</x:f>
        <x:v>평촌경영고등학교</x:v>
      </x:c>
      <x:c r="D3" s="948"/>
      <x:c r="E3" s="948"/>
      <x:c r="F3" s="948"/>
      <x:c r="G3" s="948"/>
      <x:c r="H3" s="948"/>
      <x:c r="I3" s="947" t="s">
        <x:v>28</x:v>
      </x:c>
      <x:c r="J3" s="947"/>
      <x:c r="K3" s="947"/>
      <x:c r="L3" s="947"/>
      <x:c r="M3" s="949" t="str">
        <x:f>'입력1(학교시설명 등 기본사항 입력) 보고서1,2'!C2</x:f>
        <x:v>평촌경영고등학교</x:v>
      </x:c>
      <x:c r="N3" s="950"/>
      <x:c r="O3" s="950"/>
      <x:c r="P3" s="950"/>
      <x:c r="Q3" s="950"/>
      <x:c r="R3" s="950"/>
      <x:c r="S3" s="950"/>
      <x:c r="T3" s="950"/>
      <x:c r="U3" s="950"/>
      <x:c r="V3" s="950"/>
      <x:c r="W3" s="950"/>
      <x:c r="X3" s="950"/>
      <x:c r="Y3" s="950"/>
      <x:c r="Z3" s="951"/>
    </x:row>
    <x:row r="4" spans="1:26">
      <x:c r="A4" s="952" t="s">
        <x:v>23</x:v>
      </x:c>
      <x:c r="B4" s="953"/>
      <x:c r="C4" s="954" t="str">
        <x:f>'입력1(학교시설명 등 기본사항 입력) 보고서1,2'!C13</x:f>
        <x:v>2026.06.10</x:v>
      </x:c>
      <x:c r="D4" s="954"/>
      <x:c r="E4" s="954"/>
      <x:c r="F4" s="954"/>
      <x:c r="G4" s="954"/>
      <x:c r="H4" s="954"/>
      <x:c r="I4" s="953" t="s">
        <x:v>25</x:v>
      </x:c>
      <x:c r="J4" s="953"/>
      <x:c r="K4" s="953"/>
      <x:c r="L4" s="953"/>
      <x:c r="M4" s="955" t="s">
        <x:v>509</x:v>
      </x:c>
      <x:c r="N4" s="956"/>
      <x:c r="O4" s="956"/>
      <x:c r="P4" s="956"/>
      <x:c r="Q4" s="956"/>
      <x:c r="R4" s="956"/>
      <x:c r="S4" s="956"/>
      <x:c r="T4" s="956"/>
      <x:c r="U4" s="956"/>
      <x:c r="V4" s="956"/>
      <x:c r="W4" s="956"/>
      <x:c r="X4" s="956"/>
      <x:c r="Y4" s="956"/>
      <x:c r="Z4" s="957"/>
    </x:row>
    <x:row r="5" spans="1:26">
      <x:c r="A5" s="952" t="s">
        <x:v>15</x:v>
      </x:c>
      <x:c r="B5" s="953"/>
      <x:c r="C5" s="928" t="str">
        <x:f>'입력1(학교시설명 등 기본사항 입력) 보고서1,2'!I15</x:f>
        <x:v>박정식</x:v>
      </x:c>
      <x:c r="D5" s="928"/>
      <x:c r="E5" s="928"/>
      <x:c r="F5" s="928"/>
      <x:c r="G5" s="928"/>
      <x:c r="H5" s="928"/>
      <x:c r="I5" s="953" t="s">
        <x:v>22</x:v>
      </x:c>
      <x:c r="J5" s="953"/>
      <x:c r="K5" s="953"/>
      <x:c r="L5" s="953"/>
      <x:c r="M5" s="958" t="str">
        <x:f>'입력2(측정)'!B1</x:f>
        <x:v>유재혁</x:v>
      </x:c>
      <x:c r="N5" s="959"/>
      <x:c r="O5" s="959"/>
      <x:c r="P5" s="959"/>
      <x:c r="Q5" s="959"/>
      <x:c r="R5" s="959"/>
      <x:c r="S5" s="959"/>
      <x:c r="T5" s="959"/>
      <x:c r="U5" s="959"/>
      <x:c r="V5" s="959"/>
      <x:c r="W5" s="959"/>
      <x:c r="X5" s="959"/>
      <x:c r="Y5" s="959"/>
      <x:c r="Z5" s="960"/>
    </x:row>
    <x:row r="6" spans="1:26" ht="13.5" customHeight="1">
      <x:c r="A6" s="961" t="s">
        <x:v>20</x:v>
      </x:c>
      <x:c r="B6" s="962"/>
      <x:c r="C6" s="965">
        <x:f>'입력2(측정)'!B57</x:f>
        <x:v>0</x:v>
      </x:c>
      <x:c r="D6" s="966"/>
      <x:c r="E6" s="966"/>
      <x:c r="F6" s="967"/>
      <x:c r="G6" s="965">
        <x:f>'입력2(측정)'!B58</x:f>
        <x:v>0</x:v>
      </x:c>
      <x:c r="H6" s="966"/>
      <x:c r="I6" s="966"/>
      <x:c r="J6" s="967"/>
      <x:c r="K6" s="965">
        <x:f>'입력2(측정)'!B59</x:f>
        <x:v>0</x:v>
      </x:c>
      <x:c r="L6" s="966"/>
      <x:c r="M6" s="966"/>
      <x:c r="N6" s="967"/>
      <x:c r="O6" s="965">
        <x:f>'입력2(측정)'!B60</x:f>
        <x:v>0</x:v>
      </x:c>
      <x:c r="P6" s="966"/>
      <x:c r="Q6" s="966"/>
      <x:c r="R6" s="967"/>
      <x:c r="S6" s="965">
        <x:f>'입력2(측정)'!B61</x:f>
        <x:v>0</x:v>
      </x:c>
      <x:c r="T6" s="966"/>
      <x:c r="U6" s="966"/>
      <x:c r="V6" s="967"/>
      <x:c r="W6" s="965">
        <x:f>'입력2(측정)'!B62</x:f>
        <x:v>0</x:v>
      </x:c>
      <x:c r="X6" s="966"/>
      <x:c r="Y6" s="966"/>
      <x:c r="Z6" s="967"/>
    </x:row>
    <x:row r="7" spans="1:26" ht="9.75" customHeight="1">
      <x:c r="A7" s="963"/>
      <x:c r="B7" s="964"/>
      <x:c r="C7" s="968"/>
      <x:c r="D7" s="969"/>
      <x:c r="E7" s="969"/>
      <x:c r="F7" s="970"/>
      <x:c r="G7" s="968"/>
      <x:c r="H7" s="969"/>
      <x:c r="I7" s="969"/>
      <x:c r="J7" s="970"/>
      <x:c r="K7" s="968"/>
      <x:c r="L7" s="969"/>
      <x:c r="M7" s="969"/>
      <x:c r="N7" s="970"/>
      <x:c r="O7" s="968"/>
      <x:c r="P7" s="969"/>
      <x:c r="Q7" s="969"/>
      <x:c r="R7" s="970"/>
      <x:c r="S7" s="968"/>
      <x:c r="T7" s="969"/>
      <x:c r="U7" s="969"/>
      <x:c r="V7" s="970"/>
      <x:c r="W7" s="968"/>
      <x:c r="X7" s="969"/>
      <x:c r="Y7" s="969"/>
      <x:c r="Z7" s="970"/>
    </x:row>
    <x:row r="8" spans="1:26">
      <x:c r="A8" s="971" t="s">
        <x:v>39</x:v>
      </x:c>
      <x:c r="B8" s="972"/>
      <x:c r="C8" s="973">
        <x:f>'입력2(측정)'!H57</x:f>
        <x:v>0</x:v>
      </x:c>
      <x:c r="D8" s="973"/>
      <x:c r="E8" s="973"/>
      <x:c r="F8" s="973"/>
      <x:c r="G8" s="973">
        <x:f>'입력2(측정)'!T6</x:f>
        <x:v>25.099999999999998</x:v>
      </x:c>
      <x:c r="H8" s="973"/>
      <x:c r="I8" s="973"/>
      <x:c r="J8" s="973"/>
      <x:c r="K8" s="973">
        <x:f>'입력2(측정)'!T7</x:f>
        <x:v>25.733333333333334</x:v>
      </x:c>
      <x:c r="L8" s="973"/>
      <x:c r="M8" s="973"/>
      <x:c r="N8" s="973"/>
      <x:c r="O8" s="973" t="e">
        <x:f>'입력2(측정)'!T8</x:f>
        <x:v>#DIV/0!</x:v>
      </x:c>
      <x:c r="P8" s="973"/>
      <x:c r="Q8" s="973"/>
      <x:c r="R8" s="973"/>
      <x:c r="S8" s="973">
        <x:f>'입력2(측정)'!T9</x:f>
        <x:v>26.600000000000001</x:v>
      </x:c>
      <x:c r="T8" s="973"/>
      <x:c r="U8" s="973"/>
      <x:c r="V8" s="973"/>
      <x:c r="W8" s="973">
        <x:f>'입력2(측정)'!T10</x:f>
        <x:v>25.399999999999999</x:v>
      </x:c>
      <x:c r="X8" s="973"/>
      <x:c r="Y8" s="973"/>
      <x:c r="Z8" s="973"/>
    </x:row>
    <x:row r="9" spans="1:26" hidden="1">
      <x:c r="A9" s="971" t="s">
        <x:v>38</x:v>
      </x:c>
      <x:c r="B9" s="972"/>
      <x:c r="C9" s="973">
        <x:f>'입력2(측정)'!J57</x:f>
        <x:v>0</x:v>
      </x:c>
      <x:c r="D9" s="973"/>
      <x:c r="E9" s="973"/>
      <x:c r="F9" s="973"/>
      <x:c r="G9" s="974">
        <x:f>'입력2(측정)'!J58</x:f>
        <x:v>0</x:v>
      </x:c>
      <x:c r="H9" s="974"/>
      <x:c r="I9" s="974"/>
      <x:c r="J9" s="974"/>
      <x:c r="K9" s="975">
        <x:f>'입력2(측정)'!J59</x:f>
        <x:v>0</x:v>
      </x:c>
      <x:c r="L9" s="975"/>
      <x:c r="M9" s="975"/>
      <x:c r="N9" s="975"/>
      <x:c r="O9" s="975">
        <x:f>'입력2(측정)'!J60</x:f>
        <x:v>0</x:v>
      </x:c>
      <x:c r="P9" s="975"/>
      <x:c r="Q9" s="975"/>
      <x:c r="R9" s="975"/>
      <x:c r="S9" s="975">
        <x:f>'입력2(측정)'!J61</x:f>
        <x:v>0</x:v>
      </x:c>
      <x:c r="T9" s="975"/>
      <x:c r="U9" s="975"/>
      <x:c r="V9" s="975"/>
      <x:c r="W9" s="975">
        <x:f>'입력2(측정)'!J62</x:f>
        <x:v>0</x:v>
      </x:c>
      <x:c r="X9" s="975"/>
      <x:c r="Y9" s="975"/>
      <x:c r="Z9" s="976"/>
    </x:row>
    <x:row r="10" spans="1:26">
      <x:c r="A10" s="977" t="s">
        <x:v>420</x:v>
      </x:c>
      <x:c r="B10" s="978"/>
      <x:c r="C10" s="979">
        <x:f>'입력2(측정)'!L57</x:f>
        <x:v>0</x:v>
      </x:c>
      <x:c r="D10" s="979"/>
      <x:c r="E10" s="979"/>
      <x:c r="F10" s="979"/>
      <x:c r="G10" s="980">
        <x:f>'입력2(측정)'!L58</x:f>
        <x:v>0</x:v>
      </x:c>
      <x:c r="H10" s="980"/>
      <x:c r="I10" s="980"/>
      <x:c r="J10" s="980"/>
      <x:c r="K10" s="981">
        <x:f>'입력2(측정)'!L59</x:f>
        <x:v>0</x:v>
      </x:c>
      <x:c r="L10" s="981"/>
      <x:c r="M10" s="981"/>
      <x:c r="N10" s="981"/>
      <x:c r="O10" s="981">
        <x:f>'입력2(측정)'!L60</x:f>
        <x:v>0</x:v>
      </x:c>
      <x:c r="P10" s="981"/>
      <x:c r="Q10" s="981"/>
      <x:c r="R10" s="981"/>
      <x:c r="S10" s="981">
        <x:f>'입력2(측정)'!L61</x:f>
        <x:v>0</x:v>
      </x:c>
      <x:c r="T10" s="981"/>
      <x:c r="U10" s="981"/>
      <x:c r="V10" s="981"/>
      <x:c r="W10" s="981">
        <x:f>'입력2(측정)'!L62</x:f>
        <x:v>0</x:v>
      </x:c>
      <x:c r="X10" s="981"/>
      <x:c r="Y10" s="981"/>
      <x:c r="Z10" s="982"/>
    </x:row>
    <x:row r="11" spans="1:18">
      <x:c r="A11" s="10"/>
      <x:c r="B11" s="10"/>
      <x:c r="C11" s="137"/>
      <x:c r="D11" s="137"/>
      <x:c r="E11" s="137"/>
      <x:c r="F11" s="137"/>
      <x:c r="G11" s="138"/>
      <x:c r="H11" s="138"/>
      <x:c r="I11" s="138"/>
      <x:c r="J11" s="138"/>
      <x:c r="K11" s="139"/>
      <x:c r="L11" s="139"/>
      <x:c r="M11" s="139"/>
      <x:c r="N11" s="139"/>
      <x:c r="O11" s="139"/>
      <x:c r="P11" s="139"/>
      <x:c r="Q11" s="139"/>
      <x:c r="R11" s="139"/>
    </x:row>
    <x:row r="12" spans="1:26" ht="60" customHeight="1">
      <x:c r="A12" s="983" t="s">
        <x:v>2</x:v>
      </x:c>
      <x:c r="B12" s="984"/>
      <x:c r="C12" s="984"/>
      <x:c r="D12" s="984"/>
      <x:c r="E12" s="984"/>
      <x:c r="F12" s="984"/>
      <x:c r="G12" s="984"/>
      <x:c r="H12" s="984"/>
      <x:c r="I12" s="984"/>
      <x:c r="J12" s="984"/>
      <x:c r="K12" s="984"/>
      <x:c r="L12" s="984"/>
      <x:c r="M12" s="984"/>
      <x:c r="N12" s="984"/>
      <x:c r="O12" s="984"/>
      <x:c r="P12" s="984"/>
      <x:c r="Q12" s="984"/>
      <x:c r="R12" s="984"/>
      <x:c r="S12" s="984"/>
      <x:c r="T12" s="984"/>
      <x:c r="U12" s="984"/>
      <x:c r="V12" s="984"/>
      <x:c r="W12" s="984"/>
      <x:c r="X12" s="984"/>
      <x:c r="Y12" s="984"/>
      <x:c r="Z12" s="985"/>
    </x:row>
    <x:row r="13" spans="1:18">
      <x:c r="A13" s="986"/>
      <x:c r="B13" s="986"/>
      <x:c r="C13" s="986"/>
      <x:c r="D13" s="986"/>
      <x:c r="E13" s="986"/>
      <x:c r="F13" s="986"/>
      <x:c r="G13" s="986"/>
      <x:c r="H13" s="986"/>
      <x:c r="I13" s="986"/>
      <x:c r="J13" s="986"/>
      <x:c r="K13" s="986"/>
      <x:c r="L13" s="986"/>
      <x:c r="M13" s="986"/>
      <x:c r="N13" s="986"/>
      <x:c r="O13" s="986"/>
      <x:c r="P13" s="986"/>
      <x:c r="Q13" s="986"/>
      <x:c r="R13" s="986"/>
    </x:row>
    <x:row r="14" spans="1:18">
      <x:c r="A14" s="987" t="s">
        <x:v>36</x:v>
      </x:c>
      <x:c r="B14" s="987"/>
      <x:c r="C14" s="987"/>
      <x:c r="D14" s="987"/>
      <x:c r="E14" s="987"/>
      <x:c r="F14" s="987"/>
      <x:c r="G14" s="987"/>
      <x:c r="H14" s="987"/>
      <x:c r="I14" s="987"/>
      <x:c r="J14" s="987"/>
      <x:c r="K14" s="987"/>
      <x:c r="L14" s="987"/>
      <x:c r="M14" s="987"/>
      <x:c r="N14" s="987"/>
      <x:c r="O14" s="987"/>
      <x:c r="P14" s="987"/>
      <x:c r="Q14" s="987"/>
      <x:c r="R14" s="987"/>
    </x:row>
    <x:row r="15" spans="1:26">
      <x:c r="A15" s="946" t="s">
        <x:v>419</x:v>
      </x:c>
      <x:c r="B15" s="947"/>
      <x:c r="C15" s="947"/>
      <x:c r="D15" s="947"/>
      <x:c r="E15" s="947"/>
      <x:c r="F15" s="947"/>
      <x:c r="G15" s="947"/>
      <x:c r="H15" s="947"/>
      <x:c r="I15" s="947"/>
      <x:c r="J15" s="947"/>
      <x:c r="K15" s="947"/>
      <x:c r="L15" s="947"/>
      <x:c r="M15" s="947"/>
      <x:c r="N15" s="947"/>
      <x:c r="O15" s="947"/>
      <x:c r="P15" s="947"/>
      <x:c r="Q15" s="947"/>
      <x:c r="R15" s="947"/>
      <x:c r="S15" s="947"/>
      <x:c r="T15" s="947"/>
      <x:c r="U15" s="947"/>
      <x:c r="V15" s="947"/>
      <x:c r="W15" s="947"/>
      <x:c r="X15" s="947"/>
      <x:c r="Y15" s="947"/>
      <x:c r="Z15" s="997"/>
    </x:row>
    <x:row r="16" spans="1:26" ht="73.5" customHeight="1">
      <x:c r="A16" s="1093"/>
      <x:c r="B16" s="587"/>
      <x:c r="C16" s="587"/>
      <x:c r="D16" s="587"/>
      <x:c r="E16" s="587"/>
      <x:c r="F16" s="587"/>
      <x:c r="G16" s="587"/>
      <x:c r="H16" s="587"/>
      <x:c r="I16" s="587"/>
      <x:c r="J16" s="587"/>
      <x:c r="K16" s="1094" t="s">
        <x:v>342</x:v>
      </x:c>
      <x:c r="L16" s="1094"/>
      <x:c r="M16" s="1094"/>
      <x:c r="N16" s="1094"/>
      <x:c r="O16" s="1094"/>
      <x:c r="P16" s="1094"/>
      <x:c r="Q16" s="1094"/>
      <x:c r="R16" s="1094"/>
      <x:c r="S16" s="1094"/>
      <x:c r="T16" s="1094"/>
      <x:c r="U16" s="1094"/>
      <x:c r="V16" s="1094"/>
      <x:c r="W16" s="1094"/>
      <x:c r="X16" s="1094"/>
      <x:c r="Y16" s="1094"/>
      <x:c r="Z16" s="1095"/>
    </x:row>
    <x:row r="17" spans="1:26" ht="18" customHeight="1">
      <x:c r="A17" s="952" t="s">
        <x:v>464</x:v>
      </x:c>
      <x:c r="B17" s="953"/>
      <x:c r="C17" s="953"/>
      <x:c r="D17" s="953"/>
      <x:c r="E17" s="953"/>
      <x:c r="F17" s="953"/>
      <x:c r="G17" s="953"/>
      <x:c r="H17" s="953"/>
      <x:c r="I17" s="953"/>
      <x:c r="J17" s="953"/>
      <x:c r="K17" s="953"/>
      <x:c r="L17" s="953"/>
      <x:c r="M17" s="953"/>
      <x:c r="N17" s="953"/>
      <x:c r="O17" s="953"/>
      <x:c r="P17" s="953"/>
      <x:c r="Q17" s="953"/>
      <x:c r="R17" s="953"/>
      <x:c r="S17" s="953"/>
      <x:c r="T17" s="953"/>
      <x:c r="U17" s="953"/>
      <x:c r="V17" s="953"/>
      <x:c r="W17" s="953"/>
      <x:c r="X17" s="953"/>
      <x:c r="Y17" s="953"/>
      <x:c r="Z17" s="1064"/>
    </x:row>
    <x:row r="18" spans="1:26" ht="97.5" customHeight="1">
      <x:c r="A18" s="1093"/>
      <x:c r="B18" s="587"/>
      <x:c r="C18" s="587"/>
      <x:c r="D18" s="587"/>
      <x:c r="E18" s="587"/>
      <x:c r="F18" s="587"/>
      <x:c r="G18" s="587"/>
      <x:c r="H18" s="587"/>
      <x:c r="I18" s="587"/>
      <x:c r="J18" s="587"/>
      <x:c r="K18" s="1094" t="s">
        <x:v>341</x:v>
      </x:c>
      <x:c r="L18" s="1094"/>
      <x:c r="M18" s="1094"/>
      <x:c r="N18" s="1094"/>
      <x:c r="O18" s="1094"/>
      <x:c r="P18" s="1094"/>
      <x:c r="Q18" s="1094"/>
      <x:c r="R18" s="1094"/>
      <x:c r="S18" s="1094"/>
      <x:c r="T18" s="1094"/>
      <x:c r="U18" s="1094"/>
      <x:c r="V18" s="1094"/>
      <x:c r="W18" s="1094"/>
      <x:c r="X18" s="1094"/>
      <x:c r="Y18" s="1094"/>
      <x:c r="Z18" s="1095"/>
    </x:row>
    <x:row r="19" spans="1:26">
      <x:c r="A19" s="971" t="s">
        <x:v>20</x:v>
      </x:c>
      <x:c r="B19" s="972"/>
      <x:c r="C19" s="1063">
        <x:f>C6</x:f>
        <x:v>0</x:v>
      </x:c>
      <x:c r="D19" s="953"/>
      <x:c r="E19" s="953"/>
      <x:c r="F19" s="953"/>
      <x:c r="G19" s="1063">
        <x:f>G6</x:f>
        <x:v>0</x:v>
      </x:c>
      <x:c r="H19" s="953"/>
      <x:c r="I19" s="953"/>
      <x:c r="J19" s="953"/>
      <x:c r="K19" s="1063">
        <x:f>K6</x:f>
        <x:v>0</x:v>
      </x:c>
      <x:c r="L19" s="953"/>
      <x:c r="M19" s="953"/>
      <x:c r="N19" s="953"/>
      <x:c r="O19" s="1063">
        <x:f>O6</x:f>
        <x:v>0</x:v>
      </x:c>
      <x:c r="P19" s="953"/>
      <x:c r="Q19" s="953"/>
      <x:c r="R19" s="953"/>
      <x:c r="S19" s="1063">
        <x:f>S6</x:f>
        <x:v>0</x:v>
      </x:c>
      <x:c r="T19" s="953"/>
      <x:c r="U19" s="953"/>
      <x:c r="V19" s="953"/>
      <x:c r="W19" s="1063">
        <x:f>W6</x:f>
        <x:v>0</x:v>
      </x:c>
      <x:c r="X19" s="953"/>
      <x:c r="Y19" s="953"/>
      <x:c r="Z19" s="1064"/>
    </x:row>
    <x:row r="20" spans="1:26" ht="21" customHeight="1">
      <x:c r="A20" s="1096" t="s">
        <x:v>507</x:v>
      </x:c>
      <x:c r="B20" s="298" t="s">
        <x:v>21</x:v>
      </x:c>
      <x:c r="C20" s="1098" t="s">
        <x:v>180</x:v>
      </x:c>
      <x:c r="D20" s="1098"/>
      <x:c r="E20" s="1098"/>
      <x:c r="F20" s="1098"/>
      <x:c r="G20" s="1098" t="s">
        <x:v>180</x:v>
      </x:c>
      <x:c r="H20" s="1098"/>
      <x:c r="I20" s="1098"/>
      <x:c r="J20" s="1098"/>
      <x:c r="K20" s="1098" t="s">
        <x:v>180</x:v>
      </x:c>
      <x:c r="L20" s="1098"/>
      <x:c r="M20" s="1098"/>
      <x:c r="N20" s="1098"/>
      <x:c r="O20" s="1098" t="s">
        <x:v>180</x:v>
      </x:c>
      <x:c r="P20" s="1098"/>
      <x:c r="Q20" s="1098"/>
      <x:c r="R20" s="1098"/>
      <x:c r="S20" s="1098" t="s">
        <x:v>180</x:v>
      </x:c>
      <x:c r="T20" s="1098"/>
      <x:c r="U20" s="1098"/>
      <x:c r="V20" s="1098"/>
      <x:c r="W20" s="1098" t="s">
        <x:v>180</x:v>
      </x:c>
      <x:c r="X20" s="1098"/>
      <x:c r="Y20" s="1098"/>
      <x:c r="Z20" s="1099"/>
    </x:row>
    <x:row r="21" spans="1:26" ht="21" customHeight="1">
      <x:c r="A21" s="1096"/>
      <x:c r="B21" s="293" t="s">
        <x:v>206</x:v>
      </x:c>
      <x:c r="C21" s="1100" t="e">
        <x:f>C22*(C23-C24)/(C25*C26*C27)*1/1000</x:f>
        <x:v>#DIV/0!</x:v>
      </x:c>
      <x:c r="D21" s="1100"/>
      <x:c r="E21" s="1100"/>
      <x:c r="F21" s="1100"/>
      <x:c r="G21" s="1100" t="e">
        <x:f>G22*(G23-G24)/(G25*G26*G27)*1/1000</x:f>
        <x:v>#DIV/0!</x:v>
      </x:c>
      <x:c r="H21" s="1100"/>
      <x:c r="I21" s="1100"/>
      <x:c r="J21" s="1100"/>
      <x:c r="K21" s="1100" t="e">
        <x:f>K22*(K23-K24)/(K25*K26*K27)*1/1000</x:f>
        <x:v>#DIV/0!</x:v>
      </x:c>
      <x:c r="L21" s="1100"/>
      <x:c r="M21" s="1100"/>
      <x:c r="N21" s="1100"/>
      <x:c r="O21" s="1100" t="e">
        <x:f>O22*(O23-O24)/(O25*O26*O27)*1/1000</x:f>
        <x:v>#DIV/0!</x:v>
      </x:c>
      <x:c r="P21" s="1100"/>
      <x:c r="Q21" s="1100"/>
      <x:c r="R21" s="1100"/>
      <x:c r="S21" s="1100" t="e">
        <x:f>S22*(S23-S24)/(S25*S26*S27)*1/1000</x:f>
        <x:v>#DIV/0!</x:v>
      </x:c>
      <x:c r="T21" s="1100"/>
      <x:c r="U21" s="1100"/>
      <x:c r="V21" s="1100"/>
      <x:c r="W21" s="1100" t="e">
        <x:f>W22*(W23-W24)/(W25*W26*W27)*1/1000</x:f>
        <x:v>#DIV/0!</x:v>
      </x:c>
      <x:c r="X21" s="1100"/>
      <x:c r="Y21" s="1100"/>
      <x:c r="Z21" s="1100"/>
    </x:row>
    <x:row r="22" spans="1:26" ht="21" customHeight="1">
      <x:c r="A22" s="1096"/>
      <x:c r="B22" s="293" t="s">
        <x:v>304</x:v>
      </x:c>
      <x:c r="C22" s="1101">
        <x:v>385</x:v>
      </x:c>
      <x:c r="D22" s="1101"/>
      <x:c r="E22" s="1101"/>
      <x:c r="F22" s="1101"/>
      <x:c r="G22" s="1101">
        <x:v>385</x:v>
      </x:c>
      <x:c r="H22" s="1101"/>
      <x:c r="I22" s="1101"/>
      <x:c r="J22" s="1101"/>
      <x:c r="K22" s="1101">
        <x:v>385</x:v>
      </x:c>
      <x:c r="L22" s="1101"/>
      <x:c r="M22" s="1101"/>
      <x:c r="N22" s="1101"/>
      <x:c r="O22" s="1101">
        <x:v>385</x:v>
      </x:c>
      <x:c r="P22" s="1101"/>
      <x:c r="Q22" s="1101"/>
      <x:c r="R22" s="1101"/>
      <x:c r="S22" s="1101">
        <x:v>385</x:v>
      </x:c>
      <x:c r="T22" s="1101"/>
      <x:c r="U22" s="1101"/>
      <x:c r="V22" s="1101"/>
      <x:c r="W22" s="1101">
        <x:v>385</x:v>
      </x:c>
      <x:c r="X22" s="1101"/>
      <x:c r="Y22" s="1101"/>
      <x:c r="Z22" s="1101"/>
    </x:row>
    <x:row r="23" spans="1:26" ht="21" customHeight="1">
      <x:c r="A23" s="1096"/>
      <x:c r="B23" s="293" t="s">
        <x:v>259</x:v>
      </x:c>
      <x:c r="C23" s="1098">
        <x:v>24</x:v>
      </x:c>
      <x:c r="D23" s="1098"/>
      <x:c r="E23" s="1098"/>
      <x:c r="F23" s="1098"/>
      <x:c r="G23" s="1098">
        <x:v>18.5</x:v>
      </x:c>
      <x:c r="H23" s="1098"/>
      <x:c r="I23" s="1098"/>
      <x:c r="J23" s="1098"/>
      <x:c r="K23" s="1098">
        <x:v>12</x:v>
      </x:c>
      <x:c r="L23" s="1098"/>
      <x:c r="M23" s="1098"/>
      <x:c r="N23" s="1098"/>
      <x:c r="O23" s="1098">
        <x:v>13</x:v>
      </x:c>
      <x:c r="P23" s="1098"/>
      <x:c r="Q23" s="1098"/>
      <x:c r="R23" s="1098"/>
      <x:c r="S23" s="1098">
        <x:v>17</x:v>
      </x:c>
      <x:c r="T23" s="1098"/>
      <x:c r="U23" s="1098"/>
      <x:c r="V23" s="1098"/>
      <x:c r="W23" s="1098">
        <x:v>19</x:v>
      </x:c>
      <x:c r="X23" s="1098"/>
      <x:c r="Y23" s="1098"/>
      <x:c r="Z23" s="1098"/>
    </x:row>
    <x:row r="24" spans="1:26" ht="21" customHeight="1">
      <x:c r="A24" s="1096"/>
      <x:c r="B24" s="293" t="s">
        <x:v>284</x:v>
      </x:c>
      <x:c r="C24" s="1098">
        <x:v>0</x:v>
      </x:c>
      <x:c r="D24" s="1098"/>
      <x:c r="E24" s="1098"/>
      <x:c r="F24" s="1098"/>
      <x:c r="G24" s="1098" t="e">
        <x:f>G25/G26</x:f>
        <x:v>#DIV/0!</x:v>
      </x:c>
      <x:c r="H24" s="1098"/>
      <x:c r="I24" s="1098"/>
      <x:c r="J24" s="1098"/>
      <x:c r="K24" s="1098" t="e">
        <x:f>K25/K26</x:f>
        <x:v>#DIV/0!</x:v>
      </x:c>
      <x:c r="L24" s="1098"/>
      <x:c r="M24" s="1098"/>
      <x:c r="N24" s="1098"/>
      <x:c r="O24" s="1098" t="e">
        <x:f>O25/O26</x:f>
        <x:v>#DIV/0!</x:v>
      </x:c>
      <x:c r="P24" s="1098"/>
      <x:c r="Q24" s="1098"/>
      <x:c r="R24" s="1098"/>
      <x:c r="S24" s="1098" t="e">
        <x:f>S25/S26</x:f>
        <x:v>#DIV/0!</x:v>
      </x:c>
      <x:c r="T24" s="1098"/>
      <x:c r="U24" s="1098"/>
      <x:c r="V24" s="1098"/>
      <x:c r="W24" s="1098" t="e">
        <x:f>W25/W26</x:f>
        <x:v>#DIV/0!</x:v>
      </x:c>
      <x:c r="X24" s="1098"/>
      <x:c r="Y24" s="1098"/>
      <x:c r="Z24" s="1098"/>
    </x:row>
    <x:row r="25" spans="1:26" ht="21" customHeight="1">
      <x:c r="A25" s="1096"/>
      <x:c r="B25" s="293" t="s">
        <x:v>287</x:v>
      </x:c>
      <x:c r="C25" s="1102">
        <x:v>0.0078499999999999992</x:v>
      </x:c>
      <x:c r="D25" s="1102"/>
      <x:c r="E25" s="1102"/>
      <x:c r="F25" s="1102"/>
      <x:c r="G25" s="1102">
        <x:v>0.0078499999999999992</x:v>
      </x:c>
      <x:c r="H25" s="1102"/>
      <x:c r="I25" s="1102"/>
      <x:c r="J25" s="1102"/>
      <x:c r="K25" s="1102">
        <x:v>0.0078499999999999992</x:v>
      </x:c>
      <x:c r="L25" s="1102"/>
      <x:c r="M25" s="1102"/>
      <x:c r="N25" s="1102"/>
      <x:c r="O25" s="1102">
        <x:v>0.0078499999999999992</x:v>
      </x:c>
      <x:c r="P25" s="1102"/>
      <x:c r="Q25" s="1102"/>
      <x:c r="R25" s="1102"/>
      <x:c r="S25" s="1102">
        <x:v>0.0078499999999999992</x:v>
      </x:c>
      <x:c r="T25" s="1102"/>
      <x:c r="U25" s="1102"/>
      <x:c r="V25" s="1102"/>
      <x:c r="W25" s="1102">
        <x:v>0.0078499999999999992</x:v>
      </x:c>
      <x:c r="X25" s="1102"/>
      <x:c r="Y25" s="1102"/>
      <x:c r="Z25" s="1102"/>
    </x:row>
    <x:row r="26" spans="1:26" ht="21" customHeight="1">
      <x:c r="A26" s="1096"/>
      <x:c r="B26" s="299" t="s">
        <x:v>353</x:v>
      </x:c>
      <x:c r="C26" s="1098">
        <x:f>'포집유량 보정'!N15</x:f>
        <x:v>0</x:v>
      </x:c>
      <x:c r="D26" s="1098"/>
      <x:c r="E26" s="1098"/>
      <x:c r="F26" s="1098"/>
      <x:c r="G26" s="1098">
        <x:f>'포집유량 보정'!N16</x:f>
        <x:v>0</x:v>
      </x:c>
      <x:c r="H26" s="1098"/>
      <x:c r="I26" s="1098"/>
      <x:c r="J26" s="1098"/>
      <x:c r="K26" s="1098">
        <x:f>'포집유량 보정'!N17</x:f>
        <x:v>0</x:v>
      </x:c>
      <x:c r="L26" s="1098"/>
      <x:c r="M26" s="1098"/>
      <x:c r="N26" s="1098"/>
      <x:c r="O26" s="1098">
        <x:f>'포집유량 보정'!N18</x:f>
        <x:v>0</x:v>
      </x:c>
      <x:c r="P26" s="1098"/>
      <x:c r="Q26" s="1098"/>
      <x:c r="R26" s="1098"/>
      <x:c r="S26" s="1098">
        <x:f>'포집유량 보정'!N19</x:f>
        <x:v>0</x:v>
      </x:c>
      <x:c r="T26" s="1098"/>
      <x:c r="U26" s="1098"/>
      <x:c r="V26" s="1098"/>
      <x:c r="W26" s="1098">
        <x:f>'포집유량 보정'!N20</x:f>
        <x:v>0</x:v>
      </x:c>
      <x:c r="X26" s="1098"/>
      <x:c r="Y26" s="1098"/>
      <x:c r="Z26" s="1099"/>
    </x:row>
    <x:row r="27" spans="1:26" ht="21" customHeight="1">
      <x:c r="A27" s="1097"/>
      <x:c r="B27" s="294" t="s">
        <x:v>246</x:v>
      </x:c>
      <x:c r="C27" s="1103">
        <x:v>100</x:v>
      </x:c>
      <x:c r="D27" s="1103"/>
      <x:c r="E27" s="1103"/>
      <x:c r="F27" s="1103"/>
      <x:c r="G27" s="1103">
        <x:v>100</x:v>
      </x:c>
      <x:c r="H27" s="1103"/>
      <x:c r="I27" s="1103"/>
      <x:c r="J27" s="1103"/>
      <x:c r="K27" s="1103">
        <x:v>100</x:v>
      </x:c>
      <x:c r="L27" s="1103"/>
      <x:c r="M27" s="1103"/>
      <x:c r="N27" s="1103"/>
      <x:c r="O27" s="1103">
        <x:v>100</x:v>
      </x:c>
      <x:c r="P27" s="1103"/>
      <x:c r="Q27" s="1103"/>
      <x:c r="R27" s="1103"/>
      <x:c r="S27" s="1103">
        <x:v>100</x:v>
      </x:c>
      <x:c r="T27" s="1103"/>
      <x:c r="U27" s="1103"/>
      <x:c r="V27" s="1103"/>
      <x:c r="W27" s="1103">
        <x:v>100</x:v>
      </x:c>
      <x:c r="X27" s="1103"/>
      <x:c r="Y27" s="1103"/>
      <x:c r="Z27" s="1104"/>
    </x:row>
    <x:row r="28" spans="1:18">
      <x:c r="A28" s="9"/>
      <x:c r="B28" s="10"/>
      <x:c r="C28" s="11"/>
      <x:c r="D28" s="11"/>
      <x:c r="E28" s="11"/>
      <x:c r="F28" s="11"/>
      <x:c r="G28" s="11"/>
      <x:c r="H28" s="11"/>
      <x:c r="I28" s="11"/>
      <x:c r="J28" s="11"/>
      <x:c r="K28" s="12"/>
      <x:c r="L28" s="12"/>
      <x:c r="M28" s="12"/>
      <x:c r="N28" s="12"/>
      <x:c r="O28" s="12"/>
      <x:c r="P28" s="12"/>
      <x:c r="Q28" s="12"/>
      <x:c r="R28" s="12"/>
    </x:row>
    <x:row r="29" spans="1:18">
      <x:c r="A29" s="1024" t="s">
        <x:v>14</x:v>
      </x:c>
      <x:c r="B29" s="1024"/>
      <x:c r="C29" s="1024"/>
      <x:c r="D29" s="1024"/>
      <x:c r="E29" s="1024"/>
      <x:c r="F29" s="1024"/>
      <x:c r="G29" s="1024"/>
      <x:c r="H29" s="1024"/>
      <x:c r="I29" s="1024"/>
      <x:c r="J29" s="1024"/>
      <x:c r="K29" s="1024"/>
      <x:c r="L29" s="1024"/>
      <x:c r="M29" s="1024"/>
      <x:c r="N29" s="1024"/>
      <x:c r="O29" s="1024"/>
      <x:c r="P29" s="1024"/>
      <x:c r="Q29" s="1024"/>
      <x:c r="R29" s="1024"/>
    </x:row>
    <x:row r="30" spans="1:26" ht="16.649999999999999" customHeight="1">
      <x:c r="A30" s="1025" t="s">
        <x:v>20</x:v>
      </x:c>
      <x:c r="B30" s="1026"/>
      <x:c r="C30" s="1027" t="s">
        <x:v>214</x:v>
      </x:c>
      <x:c r="D30" s="1028"/>
      <x:c r="E30" s="1028"/>
      <x:c r="F30" s="1028"/>
      <x:c r="G30" s="1028"/>
      <x:c r="H30" s="1028"/>
      <x:c r="I30" s="1028"/>
      <x:c r="J30" s="1028"/>
      <x:c r="K30" s="1028"/>
      <x:c r="L30" s="1028"/>
      <x:c r="M30" s="1028"/>
      <x:c r="N30" s="1028"/>
      <x:c r="O30" s="1028"/>
      <x:c r="P30" s="1028"/>
      <x:c r="Q30" s="1028"/>
      <x:c r="R30" s="1028"/>
      <x:c r="S30" s="1028"/>
      <x:c r="T30" s="1028"/>
      <x:c r="U30" s="1028"/>
      <x:c r="V30" s="1028"/>
      <x:c r="W30" s="1028"/>
      <x:c r="X30" s="1028"/>
      <x:c r="Y30" s="1028"/>
      <x:c r="Z30" s="1029"/>
    </x:row>
    <x:row r="31" spans="1:26" ht="24" customHeight="1">
      <x:c r="A31" s="1030">
        <x:f>C19</x:f>
        <x:v>0</x:v>
      </x:c>
      <x:c r="B31" s="1031"/>
      <x:c r="C31" s="13"/>
      <x:c r="D31" s="1036"/>
      <x:c r="E31" s="1036"/>
      <x:c r="F31" s="1036"/>
      <x:c r="G31" s="1036"/>
      <x:c r="H31" s="1036"/>
      <x:c r="I31" s="1036"/>
      <x:c r="J31" s="1036"/>
      <x:c r="K31" s="1036"/>
      <x:c r="L31" s="323">
        <x:v>385</x:v>
      </x:c>
      <x:c r="M31" s="324" t="s">
        <x:v>207</x:v>
      </x:c>
      <x:c r="N31" s="323" t="s">
        <x:v>205</x:v>
      </x:c>
      <x:c r="O31" s="323">
        <x:f>C23</x:f>
        <x:v>24</x:v>
      </x:c>
      <x:c r="P31" s="323" t="s">
        <x:v>204</x:v>
      </x:c>
      <x:c r="Q31" s="323">
        <x:f>C24</x:f>
        <x:v>0</x:v>
      </x:c>
      <x:c r="R31" s="323" t="s">
        <x:v>201</x:v>
      </x:c>
      <x:c r="S31" s="323"/>
      <x:c r="T31" s="269"/>
      <x:c r="U31" s="269"/>
      <x:c r="V31" s="269"/>
      <x:c r="W31" s="269"/>
      <x:c r="X31" s="269"/>
      <x:c r="Y31" s="269"/>
      <x:c r="Z31" s="275"/>
    </x:row>
    <x:row r="32" spans="1:26" ht="24" customHeight="1">
      <x:c r="A32" s="1032"/>
      <x:c r="B32" s="1033"/>
      <x:c r="C32" s="14"/>
      <x:c r="D32" s="262"/>
      <x:c r="E32" s="263"/>
      <x:c r="F32" s="1038"/>
      <x:c r="G32" s="1038"/>
      <x:c r="H32" s="264"/>
      <x:c r="I32" s="1039"/>
      <x:c r="J32" s="1039"/>
      <x:c r="K32" s="265"/>
      <x:c r="L32" s="324">
        <x:f>C22</x:f>
        <x:v>385</x:v>
      </x:c>
      <x:c r="M32" s="324" t="s">
        <x:v>207</x:v>
      </x:c>
      <x:c r="N32" s="1105">
        <x:f>C26</x:f>
        <x:v>0</x:v>
      </x:c>
      <x:c r="O32" s="1105"/>
      <x:c r="P32" s="325" t="s">
        <x:v>207</x:v>
      </x:c>
      <x:c r="Q32" s="326">
        <x:f>C27</x:f>
        <x:v>100</x:v>
      </x:c>
      <x:c r="R32" s="325" t="s">
        <x:v>207</x:v>
      </x:c>
      <x:c r="S32" s="325">
        <x:v>1000</x:v>
      </x:c>
      <x:c r="Z32" s="276"/>
    </x:row>
    <x:row r="33" spans="1:26" ht="24" customHeight="1">
      <x:c r="A33" s="1044">
        <x:f>G19</x:f>
        <x:v>0</x:v>
      </x:c>
      <x:c r="B33" s="1031"/>
      <x:c r="C33" s="13"/>
      <x:c r="D33" s="1036"/>
      <x:c r="E33" s="1036"/>
      <x:c r="F33" s="1036"/>
      <x:c r="G33" s="1036"/>
      <x:c r="H33" s="1036"/>
      <x:c r="I33" s="1036"/>
      <x:c r="J33" s="1036"/>
      <x:c r="K33" s="1036"/>
      <x:c r="L33" s="323">
        <x:v>385</x:v>
      </x:c>
      <x:c r="M33" s="324" t="s">
        <x:v>207</x:v>
      </x:c>
      <x:c r="N33" s="323" t="s">
        <x:v>205</x:v>
      </x:c>
      <x:c r="O33" s="323">
        <x:f>G23</x:f>
        <x:v>18.5</x:v>
      </x:c>
      <x:c r="P33" s="323" t="s">
        <x:v>204</x:v>
      </x:c>
      <x:c r="Q33" s="323" t="e">
        <x:f>-G24</x:f>
        <x:v>#DIV/0!</x:v>
      </x:c>
      <x:c r="R33" s="323" t="s">
        <x:v>201</x:v>
      </x:c>
      <x:c r="S33" s="323"/>
      <x:c r="T33" s="269"/>
      <x:c r="U33" s="269"/>
      <x:c r="V33" s="269"/>
      <x:c r="W33" s="269"/>
      <x:c r="X33" s="269"/>
      <x:c r="Y33" s="269"/>
      <x:c r="Z33" s="275"/>
    </x:row>
    <x:row r="34" spans="1:26" ht="24" customHeight="1">
      <x:c r="A34" s="1032"/>
      <x:c r="B34" s="1033"/>
      <x:c r="C34" s="14"/>
      <x:c r="D34" s="262"/>
      <x:c r="E34" s="263"/>
      <x:c r="F34" s="1038"/>
      <x:c r="G34" s="1038"/>
      <x:c r="H34" s="264"/>
      <x:c r="I34" s="1039"/>
      <x:c r="J34" s="1039"/>
      <x:c r="K34" s="265"/>
      <x:c r="L34" s="324">
        <x:f>C25</x:f>
        <x:v>0.0078499999999999992</x:v>
      </x:c>
      <x:c r="M34" s="324" t="s">
        <x:v>207</x:v>
      </x:c>
      <x:c r="N34" s="1105">
        <x:f>G26</x:f>
        <x:v>0</x:v>
      </x:c>
      <x:c r="O34" s="1105"/>
      <x:c r="P34" s="325" t="s">
        <x:v>207</x:v>
      </x:c>
      <x:c r="Q34" s="326">
        <x:v>100</x:v>
      </x:c>
      <x:c r="R34" s="325" t="s">
        <x:v>207</x:v>
      </x:c>
      <x:c r="S34" s="325">
        <x:v>1000</x:v>
      </x:c>
      <x:c r="Z34" s="276"/>
    </x:row>
    <x:row r="35" spans="1:26" ht="24" customHeight="1">
      <x:c r="A35" s="1045">
        <x:f>K19</x:f>
        <x:v>0</x:v>
      </x:c>
      <x:c r="B35" s="1033"/>
      <x:c r="C35" s="13"/>
      <x:c r="D35" s="1036"/>
      <x:c r="E35" s="1036"/>
      <x:c r="F35" s="1036"/>
      <x:c r="G35" s="1036"/>
      <x:c r="H35" s="1036"/>
      <x:c r="I35" s="1036"/>
      <x:c r="J35" s="1036"/>
      <x:c r="K35" s="1036"/>
      <x:c r="L35" s="323">
        <x:v>385</x:v>
      </x:c>
      <x:c r="M35" s="324" t="s">
        <x:v>207</x:v>
      </x:c>
      <x:c r="N35" s="323" t="s">
        <x:v>205</x:v>
      </x:c>
      <x:c r="O35" s="323">
        <x:f>K23</x:f>
        <x:v>12</x:v>
      </x:c>
      <x:c r="P35" s="323" t="s">
        <x:v>204</x:v>
      </x:c>
      <x:c r="Q35" s="323" t="e">
        <x:f>-K24</x:f>
        <x:v>#DIV/0!</x:v>
      </x:c>
      <x:c r="R35" s="323" t="s">
        <x:v>201</x:v>
      </x:c>
      <x:c r="S35" s="323"/>
      <x:c r="T35" s="269"/>
      <x:c r="U35" s="269"/>
      <x:c r="V35" s="269"/>
      <x:c r="W35" s="269"/>
      <x:c r="X35" s="269"/>
      <x:c r="Y35" s="269"/>
      <x:c r="Z35" s="275"/>
    </x:row>
    <x:row r="36" spans="1:26" ht="24" customHeight="1">
      <x:c r="A36" s="1032"/>
      <x:c r="B36" s="1033"/>
      <x:c r="C36" s="14"/>
      <x:c r="D36" s="262"/>
      <x:c r="E36" s="263"/>
      <x:c r="F36" s="1038"/>
      <x:c r="G36" s="1038"/>
      <x:c r="H36" s="264"/>
      <x:c r="I36" s="1039"/>
      <x:c r="J36" s="1039"/>
      <x:c r="K36" s="265"/>
      <x:c r="L36" s="324">
        <x:f>C28</x:f>
        <x:v>0</x:v>
      </x:c>
      <x:c r="M36" s="324" t="s">
        <x:v>207</x:v>
      </x:c>
      <x:c r="N36" s="1105">
        <x:f>K26</x:f>
        <x:v>0</x:v>
      </x:c>
      <x:c r="O36" s="1105"/>
      <x:c r="P36" s="325" t="s">
        <x:v>207</x:v>
      </x:c>
      <x:c r="Q36" s="326">
        <x:v>100</x:v>
      </x:c>
      <x:c r="R36" s="325" t="s">
        <x:v>207</x:v>
      </x:c>
      <x:c r="S36" s="325">
        <x:v>1000</x:v>
      </x:c>
      <x:c r="Z36" s="276"/>
    </x:row>
    <x:row r="37" spans="1:26" ht="24" customHeight="1">
      <x:c r="A37" s="1044">
        <x:f>O19</x:f>
        <x:v>0</x:v>
      </x:c>
      <x:c r="B37" s="1031"/>
      <x:c r="C37" s="13"/>
      <x:c r="D37" s="1036"/>
      <x:c r="E37" s="1036"/>
      <x:c r="F37" s="1036"/>
      <x:c r="G37" s="1036"/>
      <x:c r="H37" s="1036"/>
      <x:c r="I37" s="1036"/>
      <x:c r="J37" s="1036"/>
      <x:c r="K37" s="1036"/>
      <x:c r="L37" s="323">
        <x:v>385</x:v>
      </x:c>
      <x:c r="M37" s="324" t="s">
        <x:v>207</x:v>
      </x:c>
      <x:c r="N37" s="323" t="s">
        <x:v>205</x:v>
      </x:c>
      <x:c r="O37" s="323">
        <x:f>O23</x:f>
        <x:v>13</x:v>
      </x:c>
      <x:c r="P37" s="323" t="s">
        <x:v>204</x:v>
      </x:c>
      <x:c r="Q37" s="323" t="e">
        <x:f>O24</x:f>
        <x:v>#DIV/0!</x:v>
      </x:c>
      <x:c r="R37" s="323" t="s">
        <x:v>201</x:v>
      </x:c>
      <x:c r="S37" s="323"/>
      <x:c r="T37" s="269"/>
      <x:c r="U37" s="269"/>
      <x:c r="V37" s="269"/>
      <x:c r="W37" s="269"/>
      <x:c r="X37" s="269"/>
      <x:c r="Y37" s="269"/>
      <x:c r="Z37" s="275"/>
    </x:row>
    <x:row r="38" spans="1:26" ht="24" customHeight="1">
      <x:c r="A38" s="1032"/>
      <x:c r="B38" s="1033"/>
      <x:c r="C38" s="14"/>
      <x:c r="D38" s="262"/>
      <x:c r="E38" s="263"/>
      <x:c r="F38" s="1038"/>
      <x:c r="G38" s="1038"/>
      <x:c r="H38" s="264"/>
      <x:c r="I38" s="1039"/>
      <x:c r="J38" s="1039"/>
      <x:c r="K38" s="265"/>
      <x:c r="L38" s="324">
        <x:f>C31</x:f>
        <x:v>0</x:v>
      </x:c>
      <x:c r="M38" s="324" t="s">
        <x:v>207</x:v>
      </x:c>
      <x:c r="N38" s="1105">
        <x:f>O26</x:f>
        <x:v>0</x:v>
      </x:c>
      <x:c r="O38" s="1105"/>
      <x:c r="P38" s="325" t="s">
        <x:v>207</x:v>
      </x:c>
      <x:c r="Q38" s="326">
        <x:v>100</x:v>
      </x:c>
      <x:c r="R38" s="325" t="s">
        <x:v>207</x:v>
      </x:c>
      <x:c r="S38" s="325">
        <x:v>1000</x:v>
      </x:c>
      <x:c r="Z38" s="276"/>
    </x:row>
    <x:row r="39" spans="1:26" ht="24" customHeight="1">
      <x:c r="A39" s="1044">
        <x:f>S19</x:f>
        <x:v>0</x:v>
      </x:c>
      <x:c r="B39" s="1031"/>
      <x:c r="C39" s="13"/>
      <x:c r="D39" s="1036"/>
      <x:c r="E39" s="1036"/>
      <x:c r="F39" s="1036"/>
      <x:c r="G39" s="1036"/>
      <x:c r="H39" s="1036"/>
      <x:c r="I39" s="1036"/>
      <x:c r="J39" s="1036"/>
      <x:c r="K39" s="1036"/>
      <x:c r="L39" s="323">
        <x:v>385</x:v>
      </x:c>
      <x:c r="M39" s="324" t="s">
        <x:v>207</x:v>
      </x:c>
      <x:c r="N39" s="323" t="s">
        <x:v>205</x:v>
      </x:c>
      <x:c r="O39" s="323">
        <x:f>S23</x:f>
        <x:v>17</x:v>
      </x:c>
      <x:c r="P39" s="323" t="s">
        <x:v>204</x:v>
      </x:c>
      <x:c r="Q39" s="323" t="e">
        <x:f>S24</x:f>
        <x:v>#DIV/0!</x:v>
      </x:c>
      <x:c r="R39" s="323" t="s">
        <x:v>201</x:v>
      </x:c>
      <x:c r="S39" s="323"/>
      <x:c r="T39" s="269"/>
      <x:c r="U39" s="269"/>
      <x:c r="V39" s="269"/>
      <x:c r="W39" s="269"/>
      <x:c r="X39" s="269"/>
      <x:c r="Y39" s="269"/>
      <x:c r="Z39" s="275"/>
    </x:row>
    <x:row r="40" spans="1:26" ht="24" customHeight="1">
      <x:c r="A40" s="1032"/>
      <x:c r="B40" s="1033"/>
      <x:c r="C40" s="14"/>
      <x:c r="D40" s="262"/>
      <x:c r="E40" s="263"/>
      <x:c r="F40" s="1038"/>
      <x:c r="G40" s="1038"/>
      <x:c r="H40" s="264"/>
      <x:c r="I40" s="1039"/>
      <x:c r="J40" s="1039"/>
      <x:c r="K40" s="265"/>
      <x:c r="L40" s="324">
        <x:f>C33</x:f>
        <x:v>0</x:v>
      </x:c>
      <x:c r="M40" s="324" t="s">
        <x:v>207</x:v>
      </x:c>
      <x:c r="N40" s="1105">
        <x:f>S26</x:f>
        <x:v>0</x:v>
      </x:c>
      <x:c r="O40" s="1105"/>
      <x:c r="P40" s="325" t="s">
        <x:v>207</x:v>
      </x:c>
      <x:c r="Q40" s="326">
        <x:v>100</x:v>
      </x:c>
      <x:c r="R40" s="325" t="s">
        <x:v>207</x:v>
      </x:c>
      <x:c r="S40" s="325">
        <x:v>1000</x:v>
      </x:c>
      <x:c r="Z40" s="276"/>
    </x:row>
    <x:row r="41" spans="1:26" ht="24" customHeight="1">
      <x:c r="A41" s="1044">
        <x:f>W6</x:f>
        <x:v>0</x:v>
      </x:c>
      <x:c r="B41" s="1031"/>
      <x:c r="C41" s="13"/>
      <x:c r="D41" s="1036"/>
      <x:c r="E41" s="1036"/>
      <x:c r="F41" s="1036"/>
      <x:c r="G41" s="1036"/>
      <x:c r="H41" s="1036"/>
      <x:c r="I41" s="1036"/>
      <x:c r="J41" s="1036"/>
      <x:c r="K41" s="1036"/>
      <x:c r="L41" s="323">
        <x:v>385</x:v>
      </x:c>
      <x:c r="M41" s="324" t="s">
        <x:v>207</x:v>
      </x:c>
      <x:c r="N41" s="323" t="s">
        <x:v>205</x:v>
      </x:c>
      <x:c r="O41" s="323">
        <x:f>-W23</x:f>
        <x:v>-19</x:v>
      </x:c>
      <x:c r="P41" s="323" t="s">
        <x:v>204</x:v>
      </x:c>
      <x:c r="Q41" s="323" t="e">
        <x:f>-W24</x:f>
        <x:v>#DIV/0!</x:v>
      </x:c>
      <x:c r="R41" s="323" t="s">
        <x:v>201</x:v>
      </x:c>
      <x:c r="S41" s="323"/>
      <x:c r="T41" s="269"/>
      <x:c r="U41" s="269"/>
      <x:c r="V41" s="269"/>
      <x:c r="W41" s="269"/>
      <x:c r="X41" s="269"/>
      <x:c r="Y41" s="269"/>
      <x:c r="Z41" s="275"/>
    </x:row>
    <x:row r="42" spans="1:26" ht="24" customHeight="1">
      <x:c r="A42" s="1032"/>
      <x:c r="B42" s="1033"/>
      <x:c r="C42" s="14"/>
      <x:c r="D42" s="262"/>
      <x:c r="E42" s="263"/>
      <x:c r="F42" s="1038"/>
      <x:c r="G42" s="1038"/>
      <x:c r="H42" s="264"/>
      <x:c r="I42" s="1039"/>
      <x:c r="J42" s="1039"/>
      <x:c r="K42" s="265"/>
      <x:c r="L42" s="324">
        <x:f>C35</x:f>
        <x:v>0</x:v>
      </x:c>
      <x:c r="M42" s="324" t="s">
        <x:v>207</x:v>
      </x:c>
      <x:c r="N42" s="1105">
        <x:f>W26</x:f>
        <x:v>0</x:v>
      </x:c>
      <x:c r="O42" s="1105"/>
      <x:c r="P42" s="325" t="s">
        <x:v>207</x:v>
      </x:c>
      <x:c r="Q42" s="326">
        <x:v>100</x:v>
      </x:c>
      <x:c r="R42" s="325" t="s">
        <x:v>207</x:v>
      </x:c>
      <x:c r="S42" s="325">
        <x:v>1000</x:v>
      </x:c>
      <x:c r="Z42" s="276"/>
    </x:row>
  </x:sheetData>
  <x:mergeCells count="146">
    <x:mergeCell ref="A1:V1"/>
    <x:mergeCell ref="W1:X1"/>
    <x:mergeCell ref="Y1:Z1"/>
    <x:mergeCell ref="A2:C2"/>
    <x:mergeCell ref="O2:P2"/>
    <x:mergeCell ref="Q2:R2"/>
    <x:mergeCell ref="W2:X2"/>
    <x:mergeCell ref="Y2:Z2"/>
    <x:mergeCell ref="A3:B3"/>
    <x:mergeCell ref="C3:H3"/>
    <x:mergeCell ref="I3:L3"/>
    <x:mergeCell ref="M3:Z3"/>
    <x:mergeCell ref="A4:B4"/>
    <x:mergeCell ref="C4:H4"/>
    <x:mergeCell ref="I4:L4"/>
    <x:mergeCell ref="M4:Z4"/>
    <x:mergeCell ref="A5:B5"/>
    <x:mergeCell ref="C5:H5"/>
    <x:mergeCell ref="I5:L5"/>
    <x:mergeCell ref="M5:Z5"/>
    <x:mergeCell ref="A6:B7"/>
    <x:mergeCell ref="C6:F7"/>
    <x:mergeCell ref="G6:J7"/>
    <x:mergeCell ref="K6:N7"/>
    <x:mergeCell ref="O6:R7"/>
    <x:mergeCell ref="S6:V7"/>
    <x:mergeCell ref="W6:Z7"/>
    <x:mergeCell ref="A8:B8"/>
    <x:mergeCell ref="C8:F8"/>
    <x:mergeCell ref="G8:J8"/>
    <x:mergeCell ref="K8:N8"/>
    <x:mergeCell ref="O8:R8"/>
    <x:mergeCell ref="S8:V8"/>
    <x:mergeCell ref="W8:Z8"/>
    <x:mergeCell ref="A9:B9"/>
    <x:mergeCell ref="C9:F9"/>
    <x:mergeCell ref="G9:J9"/>
    <x:mergeCell ref="K9:N9"/>
    <x:mergeCell ref="O9:R9"/>
    <x:mergeCell ref="S9:V9"/>
    <x:mergeCell ref="W9:Z9"/>
    <x:mergeCell ref="A10:B10"/>
    <x:mergeCell ref="C10:F10"/>
    <x:mergeCell ref="G10:J10"/>
    <x:mergeCell ref="K10:N10"/>
    <x:mergeCell ref="O10:R10"/>
    <x:mergeCell ref="S10:V10"/>
    <x:mergeCell ref="W10:Z10"/>
    <x:mergeCell ref="A12:Z12"/>
    <x:mergeCell ref="A13:R13"/>
    <x:mergeCell ref="A14:R14"/>
    <x:mergeCell ref="A15:Z15"/>
    <x:mergeCell ref="A16:J16"/>
    <x:mergeCell ref="K16:Z16"/>
    <x:mergeCell ref="A17:Z17"/>
    <x:mergeCell ref="A18:J18"/>
    <x:mergeCell ref="K18:Z18"/>
    <x:mergeCell ref="A19:B19"/>
    <x:mergeCell ref="C19:F19"/>
    <x:mergeCell ref="G19:J19"/>
    <x:mergeCell ref="K19:N19"/>
    <x:mergeCell ref="O19:R19"/>
    <x:mergeCell ref="S19:V19"/>
    <x:mergeCell ref="W19:Z19"/>
    <x:mergeCell ref="A20:A27"/>
    <x:mergeCell ref="C20:F20"/>
    <x:mergeCell ref="G20:J20"/>
    <x:mergeCell ref="K20:N20"/>
    <x:mergeCell ref="O20:R20"/>
    <x:mergeCell ref="S20:V20"/>
    <x:mergeCell ref="W20:Z20"/>
    <x:mergeCell ref="C21:F21"/>
    <x:mergeCell ref="G21:J21"/>
    <x:mergeCell ref="K21:N21"/>
    <x:mergeCell ref="O21:R21"/>
    <x:mergeCell ref="S21:V21"/>
    <x:mergeCell ref="W21:Z21"/>
    <x:mergeCell ref="C22:F22"/>
    <x:mergeCell ref="G22:J22"/>
    <x:mergeCell ref="K22:N22"/>
    <x:mergeCell ref="O22:R22"/>
    <x:mergeCell ref="S22:V22"/>
    <x:mergeCell ref="W22:Z22"/>
    <x:mergeCell ref="C23:F23"/>
    <x:mergeCell ref="G23:J23"/>
    <x:mergeCell ref="K23:N23"/>
    <x:mergeCell ref="O23:R23"/>
    <x:mergeCell ref="S23:V23"/>
    <x:mergeCell ref="W23:Z23"/>
    <x:mergeCell ref="C24:F24"/>
    <x:mergeCell ref="G24:J24"/>
    <x:mergeCell ref="K24:N24"/>
    <x:mergeCell ref="O24:R24"/>
    <x:mergeCell ref="S24:V24"/>
    <x:mergeCell ref="W24:Z24"/>
    <x:mergeCell ref="C25:F25"/>
    <x:mergeCell ref="G25:J25"/>
    <x:mergeCell ref="K25:N25"/>
    <x:mergeCell ref="O25:R25"/>
    <x:mergeCell ref="S25:V25"/>
    <x:mergeCell ref="W25:Z25"/>
    <x:mergeCell ref="C26:F26"/>
    <x:mergeCell ref="G26:J26"/>
    <x:mergeCell ref="K26:N26"/>
    <x:mergeCell ref="O26:R26"/>
    <x:mergeCell ref="S26:V26"/>
    <x:mergeCell ref="W26:Z26"/>
    <x:mergeCell ref="C27:F27"/>
    <x:mergeCell ref="G27:J27"/>
    <x:mergeCell ref="K27:N27"/>
    <x:mergeCell ref="O27:R27"/>
    <x:mergeCell ref="S27:V27"/>
    <x:mergeCell ref="W27:Z27"/>
    <x:mergeCell ref="A29:R29"/>
    <x:mergeCell ref="A30:B30"/>
    <x:mergeCell ref="C30:Z30"/>
    <x:mergeCell ref="A31:B32"/>
    <x:mergeCell ref="D31:K31"/>
    <x:mergeCell ref="F32:G32"/>
    <x:mergeCell ref="I32:J32"/>
    <x:mergeCell ref="N32:O32"/>
    <x:mergeCell ref="A33:B34"/>
    <x:mergeCell ref="D33:K33"/>
    <x:mergeCell ref="F34:G34"/>
    <x:mergeCell ref="I34:J34"/>
    <x:mergeCell ref="N34:O34"/>
    <x:mergeCell ref="A35:B36"/>
    <x:mergeCell ref="D35:K35"/>
    <x:mergeCell ref="F36:G36"/>
    <x:mergeCell ref="I36:J36"/>
    <x:mergeCell ref="N36:O36"/>
    <x:mergeCell ref="A37:B38"/>
    <x:mergeCell ref="D37:K37"/>
    <x:mergeCell ref="F38:G38"/>
    <x:mergeCell ref="I38:J38"/>
    <x:mergeCell ref="N38:O38"/>
    <x:mergeCell ref="A39:B40"/>
    <x:mergeCell ref="D39:K39"/>
    <x:mergeCell ref="F40:G40"/>
    <x:mergeCell ref="I40:J40"/>
    <x:mergeCell ref="N40:O40"/>
    <x:mergeCell ref="A41:B42"/>
    <x:mergeCell ref="D41:K41"/>
    <x:mergeCell ref="F42:G42"/>
    <x:mergeCell ref="I42:J42"/>
    <x:mergeCell ref="N42:O42"/>
  </x:mergeCells>
  <x:pageMargins left="0.74805557727813721" right="0.74805557727813721" top="0.98430556058883667" bottom="0.98430556058883667" header="0.51138889789581299" footer="0.51138889789581299"/>
  <x:pageSetup paperSize="9" scale="68" firstPageNumber="1" fitToWidth="0" fitToHeight="0" orientation="portrait" usePrinterDefaults="1" blackAndWhite="0" draft="0" useFirstPageNumber="0" horizontalDpi="600" verticalDpi="600" copies="1"/>
  <x:rowBreaks count="1" manualBreakCount="1">
    <x:brk id="42" min="0" max="1048575" man="1" pt="0"/>
  </x:rowBreaks>
  <x:colBreaks count="1" manualBreakCount="1">
    <x:brk id="26" min="0" max="16383" man="1" pt="0"/>
  </x:colBreaks>
  <x:drawing r:id="rId1"/>
</x:worksheet>
</file>

<file path=xl/worksheets/sheet13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2">
    <x:tabColor rgb="ff0000ff"/>
  </x:sheetPr>
  <x:dimension ref="A1:H9"/>
  <x:sheetViews>
    <x:sheetView topLeftCell="A1" zoomScale="70" zoomScaleNormal="70" zoomScaleSheetLayoutView="75" workbookViewId="0">
      <x:selection activeCell="C5" activeCellId="0" sqref="C5:C5"/>
    </x:sheetView>
  </x:sheetViews>
  <x:sheetFormatPr defaultColWidth="9" defaultRowHeight="17.399999999999999"/>
  <x:cols>
    <x:col min="4" max="4" width="16.5" style="1" customWidth="1"/>
    <x:col min="5" max="5" width="45.59765625" style="1" customWidth="1"/>
    <x:col min="8" max="8" width="19.3984375" style="1" customWidth="1"/>
  </x:cols>
  <x:sheetData>
    <x:row r="1" spans="1:8">
      <x:c r="A1" s="3" t="s">
        <x:v>254</x:v>
      </x:c>
      <x:c r="B1" s="3" t="s">
        <x:v>197</x:v>
      </x:c>
      <x:c r="C1" s="3" t="s">
        <x:v>100</x:v>
      </x:c>
      <x:c r="D1" s="3" t="s">
        <x:v>43</x:v>
      </x:c>
      <x:c r="E1" s="29" t="s">
        <x:v>179</x:v>
      </x:c>
      <x:c r="F1" s="29" t="s">
        <x:v>21</x:v>
      </x:c>
      <x:c r="G1" s="29" t="s">
        <x:v>283</x:v>
      </x:c>
      <x:c r="H1" s="54" t="s">
        <x:v>98</x:v>
      </x:c>
    </x:row>
    <x:row r="2" spans="1:8">
      <x:c r="A2" s="1" t="s">
        <x:v>237</x:v>
      </x:c>
      <x:c r="B2" s="1" t="s">
        <x:v>296</x:v>
      </x:c>
      <x:c r="C2" s="1" t="s">
        <x:v>274</x:v>
      </x:c>
      <x:c r="D2" s="1" t="s">
        <x:v>165</x:v>
      </x:c>
      <x:c r="E2" s="1" t="s">
        <x:v>7</x:v>
      </x:c>
      <x:c r="F2" s="1" t="s">
        <x:v>68</x:v>
      </x:c>
      <x:c r="G2" s="1" t="s">
        <x:v>232</x:v>
      </x:c>
      <x:c r="H2" s="1" t="s">
        <x:v>165</x:v>
      </x:c>
    </x:row>
    <x:row r="3" spans="1:8">
      <x:c r="A3" s="1" t="s">
        <x:v>245</x:v>
      </x:c>
      <x:c r="B3" s="1" t="s">
        <x:v>250</x:v>
      </x:c>
      <x:c r="C3" s="1" t="s">
        <x:v>303</x:v>
      </x:c>
      <x:c r="D3" s="1" t="s">
        <x:v>133</x:v>
      </x:c>
      <x:c r="E3" s="1" t="s">
        <x:v>8</x:v>
      </x:c>
      <x:c r="F3" s="1" t="s">
        <x:v>275</x:v>
      </x:c>
      <x:c r="G3" s="1" t="s">
        <x:v>267</x:v>
      </x:c>
      <x:c r="H3" s="1" t="s">
        <x:v>460</x:v>
      </x:c>
    </x:row>
    <x:row r="4" spans="1:8">
      <x:c r="A4" s="1" t="s">
        <x:v>217</x:v>
      </x:c>
      <x:c r="C4" s="1" t="s">
        <x:v>124</x:v>
      </x:c>
      <x:c r="D4" s="1" t="s">
        <x:v>37</x:v>
      </x:c>
      <x:c r="E4" s="1" t="s">
        <x:v>437</x:v>
      </x:c>
      <x:c r="F4" s="1" t="s">
        <x:v>30</x:v>
      </x:c>
      <x:c r="G4" s="1" t="s">
        <x:v>295</x:v>
      </x:c>
      <x:c r="H4" s="1" t="s">
        <x:v>35</x:v>
      </x:c>
    </x:row>
    <x:row r="5" spans="4:8">
      <x:c r="D5" s="1" t="s">
        <x:v>11</x:v>
      </x:c>
      <x:c r="E5" s="1" t="s">
        <x:v>90</x:v>
      </x:c>
      <x:c r="F5" s="1" t="s">
        <x:v>27</x:v>
      </x:c>
      <x:c r="G5" s="1" t="s">
        <x:v>266</x:v>
      </x:c>
      <x:c r="H5" s="1" t="s">
        <x:v>234</x:v>
      </x:c>
    </x:row>
    <x:row r="6" spans="4:8">
      <x:c r="D6" s="1" t="s">
        <x:v>50</x:v>
      </x:c>
      <x:c r="E6" s="1" t="s">
        <x:v>35</x:v>
      </x:c>
      <x:c r="F6" s="1" t="s">
        <x:v>255</x:v>
      </x:c>
      <x:c r="G6" s="1" t="s">
        <x:v>428</x:v>
      </x:c>
      <x:c r="H6" s="1" t="s">
        <x:v>37</x:v>
      </x:c>
    </x:row>
    <x:row r="7" spans="4:8">
      <x:c r="D7" s="1" t="s">
        <x:v>35</x:v>
      </x:c>
      <x:c r="F7" s="1" t="s">
        <x:v>278</x:v>
      </x:c>
      <x:c r="H7" s="1" t="s">
        <x:v>73</x:v>
      </x:c>
    </x:row>
    <x:row r="8" spans="4:6">
      <x:c r="D8" s="1" t="s">
        <x:v>90</x:v>
      </x:c>
      <x:c r="F8" s="1" t="s">
        <x:v>281</x:v>
      </x:c>
    </x:row>
    <x:row r="9" spans="4:6">
      <x:c r="D9" s="1" t="s">
        <x:v>238</x:v>
      </x:c>
      <x:c r="F9" s="1" t="s">
        <x:v>264</x:v>
      </x:c>
    </x:row>
  </x:sheetData>
  <x:pageMargins left="0.74805557727813721" right="0.74805557727813721" top="0.98430556058883667" bottom="0.98430556058883667" header="0.51138889789581299" footer="0.51138889789581299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14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3"/>
  <x:dimension ref="A2:F52"/>
  <x:sheetViews>
    <x:sheetView topLeftCell="A7" zoomScale="70" zoomScaleNormal="70" zoomScaleSheetLayoutView="75" workbookViewId="0">
      <x:selection activeCell="AA19" activeCellId="0" sqref="AA18:AA19"/>
    </x:sheetView>
  </x:sheetViews>
  <x:sheetFormatPr defaultColWidth="9" defaultRowHeight="17.399999999999999"/>
  <x:cols>
    <x:col min="1" max="1" width="5.69921875" style="1" customWidth="1"/>
    <x:col min="2" max="2" width="17.19921875" style="1" customWidth="1"/>
    <x:col min="3" max="3" width="16.59765625" style="1" customWidth="1"/>
    <x:col min="4" max="4" width="20.69921875" style="1" customWidth="1"/>
    <x:col min="5" max="5" width="15.19921875" style="1" customWidth="1"/>
  </x:cols>
  <x:sheetData>
    <x:row r="2" spans="1:6">
      <x:c r="A2" s="28" t="s">
        <x:v>243</x:v>
      </x:c>
      <x:c r="B2" s="28" t="s">
        <x:v>434</x:v>
      </x:c>
      <x:c r="C2" s="28" t="s">
        <x:v>32</x:v>
      </x:c>
      <x:c r="D2" s="28" t="s">
        <x:v>144</x:v>
      </x:c>
      <x:c r="E2" s="28" t="s">
        <x:v>142</x:v>
      </x:c>
      <x:c r="F2" s="28" t="s">
        <x:v>208</x:v>
      </x:c>
    </x:row>
    <x:row r="3" spans="1:6">
      <x:c r="A3" s="2">
        <x:v>1</x:v>
      </x:c>
      <x:c r="B3" s="2"/>
      <x:c r="C3" s="2"/>
      <x:c r="D3" s="2"/>
      <x:c r="E3" s="2"/>
      <x:c r="F3" s="2"/>
    </x:row>
    <x:row r="4" spans="1:6">
      <x:c r="A4" s="2">
        <x:v>2</x:v>
      </x:c>
      <x:c r="B4" s="2"/>
      <x:c r="C4" s="2"/>
      <x:c r="D4" s="2"/>
      <x:c r="E4" s="2"/>
      <x:c r="F4" s="2"/>
    </x:row>
    <x:row r="5" spans="1:6">
      <x:c r="A5" s="2">
        <x:v>3</x:v>
      </x:c>
      <x:c r="B5" s="2"/>
      <x:c r="C5" s="2"/>
      <x:c r="D5" s="2"/>
      <x:c r="E5" s="2"/>
      <x:c r="F5" s="2"/>
    </x:row>
    <x:row r="6" spans="1:6">
      <x:c r="A6" s="2">
        <x:v>4</x:v>
      </x:c>
      <x:c r="B6" s="2"/>
      <x:c r="C6" s="2"/>
      <x:c r="D6" s="2"/>
      <x:c r="E6" s="2"/>
      <x:c r="F6" s="2"/>
    </x:row>
    <x:row r="7" spans="1:6">
      <x:c r="A7" s="2">
        <x:v>5</x:v>
      </x:c>
      <x:c r="B7" s="2"/>
      <x:c r="C7" s="2"/>
      <x:c r="D7" s="2"/>
      <x:c r="E7" s="2"/>
      <x:c r="F7" s="2"/>
    </x:row>
    <x:row r="8" spans="1:6">
      <x:c r="A8" s="2">
        <x:v>6</x:v>
      </x:c>
      <x:c r="B8" s="2"/>
      <x:c r="C8" s="2"/>
      <x:c r="D8" s="2"/>
      <x:c r="E8" s="2"/>
      <x:c r="F8" s="2"/>
    </x:row>
    <x:row r="9" spans="1:6">
      <x:c r="A9" s="2">
        <x:v>7</x:v>
      </x:c>
      <x:c r="B9" s="2"/>
      <x:c r="C9" s="2"/>
      <x:c r="D9" s="2"/>
      <x:c r="E9" s="2"/>
      <x:c r="F9" s="2"/>
    </x:row>
    <x:row r="10" spans="1:6">
      <x:c r="A10" s="2">
        <x:v>8</x:v>
      </x:c>
      <x:c r="B10" s="2"/>
      <x:c r="C10" s="2"/>
      <x:c r="D10" s="2"/>
      <x:c r="E10" s="2"/>
      <x:c r="F10" s="2"/>
    </x:row>
    <x:row r="11" spans="1:6">
      <x:c r="A11" s="2">
        <x:v>9</x:v>
      </x:c>
      <x:c r="B11" s="2"/>
      <x:c r="C11" s="2"/>
      <x:c r="D11" s="2"/>
      <x:c r="E11" s="2"/>
      <x:c r="F11" s="2"/>
    </x:row>
    <x:row r="12" spans="1:6">
      <x:c r="A12" s="2">
        <x:v>10</x:v>
      </x:c>
      <x:c r="B12" s="2"/>
      <x:c r="C12" s="2"/>
      <x:c r="D12" s="2"/>
      <x:c r="E12" s="2"/>
      <x:c r="F12" s="2"/>
    </x:row>
    <x:row r="13" spans="1:6">
      <x:c r="A13" s="2">
        <x:v>11</x:v>
      </x:c>
      <x:c r="B13" s="2"/>
      <x:c r="C13" s="2"/>
      <x:c r="D13" s="2"/>
      <x:c r="E13" s="2"/>
      <x:c r="F13" s="2"/>
    </x:row>
    <x:row r="14" spans="1:6">
      <x:c r="A14" s="2">
        <x:v>12</x:v>
      </x:c>
      <x:c r="B14" s="2"/>
      <x:c r="C14" s="2"/>
      <x:c r="D14" s="2"/>
      <x:c r="E14" s="2"/>
      <x:c r="F14" s="2"/>
    </x:row>
    <x:row r="15" spans="1:6">
      <x:c r="A15" s="2">
        <x:v>13</x:v>
      </x:c>
      <x:c r="B15" s="2"/>
      <x:c r="C15" s="2"/>
      <x:c r="D15" s="2"/>
      <x:c r="E15" s="2"/>
      <x:c r="F15" s="2"/>
    </x:row>
    <x:row r="16" spans="1:6">
      <x:c r="A16" s="2">
        <x:v>14</x:v>
      </x:c>
      <x:c r="B16" s="2"/>
      <x:c r="C16" s="2"/>
      <x:c r="D16" s="2"/>
      <x:c r="E16" s="2"/>
      <x:c r="F16" s="2"/>
    </x:row>
    <x:row r="17" spans="1:6">
      <x:c r="A17" s="2">
        <x:v>15</x:v>
      </x:c>
      <x:c r="B17" s="2"/>
      <x:c r="C17" s="2"/>
      <x:c r="D17" s="2"/>
      <x:c r="E17" s="2"/>
      <x:c r="F17" s="2"/>
    </x:row>
    <x:row r="18" spans="1:6">
      <x:c r="A18" s="2">
        <x:v>16</x:v>
      </x:c>
      <x:c r="B18" s="2"/>
      <x:c r="C18" s="2"/>
      <x:c r="D18" s="2"/>
      <x:c r="E18" s="2"/>
      <x:c r="F18" s="2"/>
    </x:row>
    <x:row r="19" spans="1:6">
      <x:c r="A19" s="2">
        <x:v>17</x:v>
      </x:c>
      <x:c r="B19" s="2"/>
      <x:c r="C19" s="2"/>
      <x:c r="D19" s="2"/>
      <x:c r="E19" s="2"/>
      <x:c r="F19" s="2"/>
    </x:row>
    <x:row r="20" spans="1:6">
      <x:c r="A20" s="2">
        <x:v>18</x:v>
      </x:c>
      <x:c r="B20" s="2"/>
      <x:c r="C20" s="2"/>
      <x:c r="D20" s="2"/>
      <x:c r="E20" s="2"/>
      <x:c r="F20" s="2"/>
    </x:row>
    <x:row r="21" spans="1:6">
      <x:c r="A21" s="2">
        <x:v>19</x:v>
      </x:c>
      <x:c r="B21" s="2"/>
      <x:c r="C21" s="2"/>
      <x:c r="D21" s="2"/>
      <x:c r="E21" s="2"/>
      <x:c r="F21" s="2"/>
    </x:row>
    <x:row r="22" spans="1:6">
      <x:c r="A22" s="2">
        <x:v>20</x:v>
      </x:c>
      <x:c r="B22" s="2"/>
      <x:c r="C22" s="2"/>
      <x:c r="D22" s="2"/>
      <x:c r="E22" s="2"/>
      <x:c r="F22" s="2"/>
    </x:row>
    <x:row r="23" spans="1:6">
      <x:c r="A23" s="2">
        <x:v>21</x:v>
      </x:c>
      <x:c r="B23" s="2"/>
      <x:c r="C23" s="2"/>
      <x:c r="D23" s="2"/>
      <x:c r="E23" s="2"/>
      <x:c r="F23" s="2"/>
    </x:row>
    <x:row r="24" spans="1:6">
      <x:c r="A24" s="2">
        <x:v>22</x:v>
      </x:c>
      <x:c r="B24" s="2"/>
      <x:c r="C24" s="2"/>
      <x:c r="D24" s="2"/>
      <x:c r="E24" s="2"/>
      <x:c r="F24" s="2"/>
    </x:row>
    <x:row r="25" spans="1:6">
      <x:c r="A25" s="2">
        <x:v>23</x:v>
      </x:c>
      <x:c r="B25" s="2"/>
      <x:c r="C25" s="2"/>
      <x:c r="D25" s="2"/>
      <x:c r="E25" s="2"/>
      <x:c r="F25" s="2"/>
    </x:row>
    <x:row r="26" spans="1:6">
      <x:c r="A26" s="2">
        <x:v>24</x:v>
      </x:c>
      <x:c r="B26" s="2"/>
      <x:c r="C26" s="2"/>
      <x:c r="D26" s="2"/>
      <x:c r="E26" s="2"/>
      <x:c r="F26" s="2"/>
    </x:row>
    <x:row r="27" spans="1:6">
      <x:c r="A27" s="2">
        <x:v>25</x:v>
      </x:c>
      <x:c r="B27" s="2"/>
      <x:c r="C27" s="2"/>
      <x:c r="D27" s="2"/>
      <x:c r="E27" s="2"/>
      <x:c r="F27" s="2"/>
    </x:row>
    <x:row r="28" spans="1:6">
      <x:c r="A28" s="2">
        <x:v>26</x:v>
      </x:c>
      <x:c r="B28" s="2"/>
      <x:c r="C28" s="2"/>
      <x:c r="D28" s="2"/>
      <x:c r="E28" s="2"/>
      <x:c r="F28" s="2"/>
    </x:row>
    <x:row r="29" spans="1:6">
      <x:c r="A29" s="2">
        <x:v>27</x:v>
      </x:c>
      <x:c r="B29" s="2"/>
      <x:c r="C29" s="2"/>
      <x:c r="D29" s="2"/>
      <x:c r="E29" s="2"/>
      <x:c r="F29" s="2"/>
    </x:row>
    <x:row r="30" spans="1:6">
      <x:c r="A30" s="2">
        <x:v>28</x:v>
      </x:c>
      <x:c r="B30" s="2"/>
      <x:c r="C30" s="2"/>
      <x:c r="D30" s="2"/>
      <x:c r="E30" s="2"/>
      <x:c r="F30" s="2"/>
    </x:row>
    <x:row r="31" spans="1:6">
      <x:c r="A31" s="2">
        <x:v>29</x:v>
      </x:c>
      <x:c r="B31" s="2"/>
      <x:c r="C31" s="2"/>
      <x:c r="D31" s="2"/>
      <x:c r="E31" s="2"/>
      <x:c r="F31" s="2"/>
    </x:row>
    <x:row r="32" spans="1:6">
      <x:c r="A32" s="2">
        <x:v>30</x:v>
      </x:c>
      <x:c r="B32" s="2"/>
      <x:c r="C32" s="2"/>
      <x:c r="D32" s="2"/>
      <x:c r="E32" s="2"/>
      <x:c r="F32" s="2"/>
    </x:row>
    <x:row r="33" spans="1:6">
      <x:c r="A33" s="2">
        <x:v>31</x:v>
      </x:c>
      <x:c r="B33" s="2"/>
      <x:c r="C33" s="2"/>
      <x:c r="D33" s="2"/>
      <x:c r="E33" s="2"/>
      <x:c r="F33" s="2"/>
    </x:row>
    <x:row r="34" spans="1:6">
      <x:c r="A34" s="2">
        <x:v>32</x:v>
      </x:c>
      <x:c r="B34" s="2"/>
      <x:c r="C34" s="2"/>
      <x:c r="D34" s="2"/>
      <x:c r="E34" s="2"/>
      <x:c r="F34" s="2"/>
    </x:row>
    <x:row r="35" spans="1:6">
      <x:c r="A35" s="2">
        <x:v>33</x:v>
      </x:c>
      <x:c r="B35" s="2"/>
      <x:c r="C35" s="2"/>
      <x:c r="D35" s="2"/>
      <x:c r="E35" s="2"/>
      <x:c r="F35" s="2"/>
    </x:row>
    <x:row r="36" spans="1:6">
      <x:c r="A36" s="2">
        <x:v>34</x:v>
      </x:c>
      <x:c r="B36" s="2"/>
      <x:c r="C36" s="2"/>
      <x:c r="D36" s="2"/>
      <x:c r="E36" s="2"/>
      <x:c r="F36" s="2"/>
    </x:row>
    <x:row r="37" spans="1:6">
      <x:c r="A37" s="2">
        <x:v>35</x:v>
      </x:c>
      <x:c r="B37" s="2"/>
      <x:c r="C37" s="2"/>
      <x:c r="D37" s="2"/>
      <x:c r="E37" s="2"/>
      <x:c r="F37" s="2"/>
    </x:row>
    <x:row r="38" spans="1:6">
      <x:c r="A38" s="2">
        <x:v>36</x:v>
      </x:c>
      <x:c r="B38" s="2"/>
      <x:c r="C38" s="2"/>
      <x:c r="D38" s="2"/>
      <x:c r="E38" s="2"/>
      <x:c r="F38" s="2"/>
    </x:row>
    <x:row r="39" spans="1:6">
      <x:c r="A39" s="2">
        <x:v>37</x:v>
      </x:c>
      <x:c r="B39" s="2"/>
      <x:c r="C39" s="2"/>
      <x:c r="D39" s="2"/>
      <x:c r="E39" s="2"/>
      <x:c r="F39" s="2"/>
    </x:row>
    <x:row r="40" spans="1:6">
      <x:c r="A40" s="2">
        <x:v>38</x:v>
      </x:c>
      <x:c r="B40" s="2"/>
      <x:c r="C40" s="2"/>
      <x:c r="D40" s="2"/>
      <x:c r="E40" s="2"/>
      <x:c r="F40" s="2"/>
    </x:row>
    <x:row r="41" spans="1:6">
      <x:c r="A41" s="2">
        <x:v>39</x:v>
      </x:c>
      <x:c r="B41" s="2"/>
      <x:c r="C41" s="2"/>
      <x:c r="D41" s="2"/>
      <x:c r="E41" s="2"/>
      <x:c r="F41" s="2"/>
    </x:row>
    <x:row r="42" spans="1:6">
      <x:c r="A42" s="2">
        <x:v>40</x:v>
      </x:c>
      <x:c r="B42" s="2"/>
      <x:c r="C42" s="2"/>
      <x:c r="D42" s="2"/>
      <x:c r="E42" s="2"/>
      <x:c r="F42" s="2"/>
    </x:row>
    <x:row r="43" spans="1:6">
      <x:c r="A43" s="2">
        <x:v>41</x:v>
      </x:c>
      <x:c r="B43" s="2"/>
      <x:c r="C43" s="2"/>
      <x:c r="D43" s="2"/>
      <x:c r="E43" s="2"/>
      <x:c r="F43" s="2"/>
    </x:row>
    <x:row r="44" spans="1:6">
      <x:c r="A44" s="2">
        <x:v>42</x:v>
      </x:c>
      <x:c r="B44" s="2"/>
      <x:c r="C44" s="2"/>
      <x:c r="D44" s="2"/>
      <x:c r="E44" s="2"/>
      <x:c r="F44" s="2"/>
    </x:row>
    <x:row r="45" spans="1:6">
      <x:c r="A45" s="2">
        <x:v>43</x:v>
      </x:c>
      <x:c r="B45" s="2"/>
      <x:c r="C45" s="2"/>
      <x:c r="D45" s="2"/>
      <x:c r="E45" s="2"/>
      <x:c r="F45" s="2"/>
    </x:row>
    <x:row r="46" spans="1:6">
      <x:c r="A46" s="2">
        <x:v>44</x:v>
      </x:c>
      <x:c r="B46" s="2"/>
      <x:c r="C46" s="2"/>
      <x:c r="D46" s="2"/>
      <x:c r="E46" s="2"/>
      <x:c r="F46" s="2"/>
    </x:row>
    <x:row r="47" spans="1:6">
      <x:c r="A47" s="2">
        <x:v>45</x:v>
      </x:c>
      <x:c r="B47" s="2"/>
      <x:c r="C47" s="2"/>
      <x:c r="D47" s="2"/>
      <x:c r="E47" s="2"/>
      <x:c r="F47" s="2"/>
    </x:row>
    <x:row r="48" spans="1:6">
      <x:c r="A48" s="2">
        <x:v>46</x:v>
      </x:c>
      <x:c r="B48" s="2"/>
      <x:c r="C48" s="2"/>
      <x:c r="D48" s="2"/>
      <x:c r="E48" s="2"/>
      <x:c r="F48" s="2"/>
    </x:row>
    <x:row r="49" spans="1:6">
      <x:c r="A49" s="2">
        <x:v>47</x:v>
      </x:c>
      <x:c r="B49" s="2"/>
      <x:c r="C49" s="2"/>
      <x:c r="D49" s="2"/>
      <x:c r="E49" s="2"/>
      <x:c r="F49" s="2"/>
    </x:row>
    <x:row r="50" spans="1:6">
      <x:c r="A50" s="2">
        <x:v>48</x:v>
      </x:c>
      <x:c r="B50" s="2"/>
      <x:c r="C50" s="2"/>
      <x:c r="D50" s="2"/>
      <x:c r="E50" s="2"/>
      <x:c r="F50" s="2"/>
    </x:row>
    <x:row r="51" spans="1:6">
      <x:c r="A51" s="2">
        <x:v>49</x:v>
      </x:c>
      <x:c r="B51" s="2"/>
      <x:c r="C51" s="2"/>
      <x:c r="D51" s="2"/>
      <x:c r="E51" s="2"/>
      <x:c r="F51" s="2"/>
    </x:row>
    <x:row r="52" spans="1:6">
      <x:c r="A52" s="2">
        <x:v>50</x:v>
      </x:c>
      <x:c r="B52" s="2"/>
      <x:c r="C52" s="2"/>
      <x:c r="D52" s="2"/>
      <x:c r="E52" s="2"/>
      <x:c r="F52" s="2"/>
    </x:row>
  </x:sheetData>
  <x:dataValidations count="5">
    <x:dataValidation type="list" operator="equal" allowBlank="1" showInputMessage="1" showErrorMessage="1" sqref="I6:J6">
      <x:formula1>'드롭다운 메뉴_지우지말것!'!$A$2:$A$4</x:formula1>
    </x:dataValidation>
    <x:dataValidation type="list" operator="equal" allowBlank="1" showInputMessage="1" showErrorMessage="1" sqref="H10:H10">
      <x:formula1>'드롭다운 메뉴_지우지말것!'!$B$2:$B$3</x:formula1>
    </x:dataValidation>
    <x:dataValidation type="list" operator="equal" allowBlank="1" showInputMessage="1" showErrorMessage="1" sqref="J16:J16">
      <x:formula1>'드롭다운 메뉴_지우지말것!'!$C$2:$C$3</x:formula1>
    </x:dataValidation>
    <x:dataValidation type="list" operator="equal" allowBlank="1" showInputMessage="1" showErrorMessage="1" sqref="B3:B52">
      <x:formula1>'드롭다운 메뉴_지우지말것!'!$D$2:$D$9</x:formula1>
    </x:dataValidation>
    <x:dataValidation type="list" operator="equal" allowBlank="1" showInputMessage="1" showErrorMessage="1" sqref="D3:D52">
      <x:formula1>'드롭다운 메뉴_지우지말것!'!$F$2:$F$9</x:formula1>
    </x:dataValidation>
  </x:dataValidations>
  <x:pageMargins left="0.74805557727813721" right="0.74805557727813721" top="0.98430556058883667" bottom="0.98430556058883667" header="0.51138889789581299" footer="0.51138889789581299"/>
  <x:pageSetup paperSize="9" scale="100" firstPageNumber="1" fitToWidth="0" fitToHeight="0" orientation="portrait" usePrinterDefaults="1" blackAndWhite="0" draft="0" useFirstPageNumber="0" horizontalDpi="600" verticalDpi="600" copies="1"/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14" baseType="lpstr">
      <vt:lpstr>입력1(학교시설명 등 기본사항 입력) 보고서1,2</vt:lpstr>
      <vt:lpstr>입력2(측정)</vt:lpstr>
      <vt:lpstr>보고서3</vt:lpstr>
      <vt:lpstr>측정사진</vt:lpstr>
      <vt:lpstr>실내공기질 측정기록부</vt:lpstr>
      <vt:lpstr>시료인계서</vt:lpstr>
      <vt:lpstr>시료번호 입렵</vt:lpstr>
      <vt:lpstr>포집유량 보정</vt:lpstr>
      <vt:lpstr>부유세균(시험기록부)</vt:lpstr>
      <vt:lpstr>부유세균 환산표</vt:lpstr>
      <vt:lpstr>낙하세균(시험기록부)</vt:lpstr>
      <vt:lpstr>석면 시험기록부</vt:lpstr>
      <vt:lpstr>드롭다운 메뉴_지우지말것!</vt:lpstr>
      <vt:lpstr>시료 접수대장</vt:lpstr>
    </vt:vector>
  </ep:TitlesOfParts>
  <ep:TotalTime>3438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PC2410</dc:creator>
  <cp:lastModifiedBy>PC2410</cp:lastModifiedBy>
  <cp:revision>285</cp:revision>
  <cp:lastPrinted>2026-06-10T08:32:45.000</cp:lastPrinted>
  <dcterms:created xsi:type="dcterms:W3CDTF">2026-04-01T19:58:34.000</dcterms:created>
  <dcterms:modified xsi:type="dcterms:W3CDTF">2026-06-29T00:57:49.819</dcterms:modified>
  <cp:version>1100.0100.01</cp:version>
</cp:coreProperties>
</file>